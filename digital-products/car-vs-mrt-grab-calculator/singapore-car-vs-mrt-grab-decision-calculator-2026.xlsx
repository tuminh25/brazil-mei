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INPUTS" state="visible" r:id="rId5"/>
    <sheet sheetId="3" name="COMPARISON" state="visible" r:id="rId6"/>
    <sheet sheetId="4" name="SCENARIO ANALYSIS" state="visible" r:id="rId7"/>
  </sheets>
  <calcPr calcId="171027"/>
</workbook>
</file>

<file path=xl/sharedStrings.xml><?xml version="1.0" encoding="utf-8"?>
<sst xmlns="http://schemas.openxmlformats.org/spreadsheetml/2006/main" count="92" uniqueCount="92">
  <si>
    <t>SINGAPORE CAR  vs  MRT + GRAB</t>
  </si>
  <si>
    <t>Total Cost Decision Calculator — 2026 Edition</t>
  </si>
  <si>
    <t>Enter your own transport habits, car costs and assumptions. Compare your estimated 1-year and 10-year cost before making a major financial commitment.</t>
  </si>
  <si>
    <t>WHAT THIS CALCULATOR DOES</t>
  </si>
  <si>
    <t>It estimates what YOU would personally spend on getting around Singapore under three scenarios:</t>
  </si>
  <si>
    <t xml:space="preserve">         Scenario A — MRT / bus only          Scenario B — MRT / bus + Grab / taxi          Scenario C — owning a car</t>
  </si>
  <si>
    <t>…and shows each scenario side by side over 1 year and 10 years, plus a break-even point: how high your Grab / taxi spending would need to go before a car becomes cost-comparable.</t>
  </si>
  <si>
    <t>WHO IT IS FOR</t>
  </si>
  <si>
    <t>Singapore residents who spend significant money on transport and are asking: “Does owning a car actually make sense for MY household?” Ideal if you may buy a car within the next 1–3 years, or you already drive and want to see the full picture.</t>
  </si>
  <si>
    <t>HOW TO USE IT — 3 STEPS</t>
  </si>
  <si>
    <t>STEP 1  ·  Enter your assumptions on the INPUTS tab (edit the yellow cells only).</t>
  </si>
  <si>
    <t>STEP 2  ·  Review your estimated monthly, 1-year and 10-year costs on the COMPARISON tab.</t>
  </si>
  <si>
    <t>STEP 3  ·  Stress-test your biggest assumptions (depreciation, petrol, Grab usage) on the SCENARIO ANALYSIS tab.</t>
  </si>
  <si>
    <t>GOOD TO KNOW</t>
  </si>
  <si>
    <t>Yellow cells are yours to edit. Blue cells calculate automatically — please do not type into them.</t>
  </si>
  <si>
    <t>Every pre-filled figure is a clearly-labelled 2026 EXAMPLE assumption, not a quote or forecast. Replace them with your own numbers and research.</t>
  </si>
  <si>
    <t>The calculator works entirely offline inside this file. It never fetches live COE, petrol, ERP or fare data.</t>
  </si>
  <si>
    <t>Disclaimer: This calculator is for personal planning and comparison only. It is not financial advice.</t>
  </si>
  <si>
    <t>© SGEventsHub · Singapore Car vs MRT/Grab Decision Calculator (2026) · v2026.1</t>
  </si>
  <si>
    <t>STEP 1 · ENTER YOUR ASSUMPTIONS</t>
  </si>
  <si>
    <t>Edit ONLY the yellow cells. Pre-filled values are realistic 2026 examples — replace them with your own numbers.</t>
  </si>
  <si>
    <t>PUBLIC TRANSPORT (SCENARIO A)</t>
  </si>
  <si>
    <t>Monthly MRT / bus cost</t>
  </si>
  <si>
    <t>Example: a commuter paying fares or holding a travel card. Replace with your own average.</t>
  </si>
  <si>
    <t>GRAB / TAXI (ADDED IN SCENARIO B)</t>
  </si>
  <si>
    <t>Monthly Grab / taxi spending</t>
  </si>
  <si>
    <t>Example includes weekday rides and occasional late-night trips.</t>
  </si>
  <si>
    <t>CAR — ONE-OFF COSTS &amp; FINANCING</t>
  </si>
  <si>
    <t>Car purchase price</t>
  </si>
  <si>
    <t>Example price for the vehicle itself, before COE.</t>
  </si>
  <si>
    <t>COE / upfront ownership cost</t>
  </si>
  <si>
    <t>Example: COE premium plus registration, parcel fees and extras. Check current COE results yourself.</t>
  </si>
  <si>
    <t>Loan amount</t>
  </si>
  <si>
    <t>Amount you expect to borrow. Enter 0 if paying cash.</t>
  </si>
  <si>
    <t>Loan monthly payment</t>
  </si>
  <si>
    <t>Example: 5-year flat-rate car loan. Confirm rates with lenders.</t>
  </si>
  <si>
    <t>CAR — MONTHLY RUNNING COSTS</t>
  </si>
  <si>
    <t>Petrol per month</t>
  </si>
  <si>
    <t>Example for moderate mileage. Adjust for your driving distance and fuel prices.</t>
  </si>
  <si>
    <t>Parking per month</t>
  </si>
  <si>
    <t>Example combines residential season parking with occasional town parking.</t>
  </si>
  <si>
    <t>ERP per month</t>
  </si>
  <si>
    <t>Example for a commute that passes pricing gantries a few times a week.</t>
  </si>
  <si>
    <t>Insurance per month</t>
  </si>
  <si>
    <t>Example annual premium of about S$2,400 divided across the year.</t>
  </si>
  <si>
    <t>Maintenance / servicing per month</t>
  </si>
  <si>
    <t>Regular servicing, tyres and wear-and-tear, averaged monthly.</t>
  </si>
  <si>
    <t>Other monthly car costs</t>
  </si>
  <si>
    <t>Road tax, car washes, accessories — anything else recurring.</t>
  </si>
  <si>
    <t>DEPRECIATION</t>
  </si>
  <si>
    <t>Estimated annual depreciation</t>
  </si>
  <si>
    <t>How much value the car loses per year. This is usually the single largest hidden cost.</t>
  </si>
  <si>
    <t>Upfront cash needed (calculated)</t>
  </si>
  <si>
    <t>Purchase price + COE/upfront cost − loan. Informational only.</t>
  </si>
  <si>
    <t>STEP 2 · REVIEW YOUR ESTIMATED COSTS</t>
  </si>
  <si>
    <t>Everything here updates automatically from the INPUTS tab — change an input and come straight back.</t>
  </si>
  <si>
    <t>Scenario</t>
  </si>
  <si>
    <t>Per month</t>
  </si>
  <si>
    <t>Per 1 year</t>
  </si>
  <si>
    <t>Per 10 years</t>
  </si>
  <si>
    <t>Scenario A · MRT / bus only</t>
  </si>
  <si>
    <t>Scenario B · MRT / bus + Grab / taxi</t>
  </si>
  <si>
    <t>Scenario C · Car ownership — Monthly Cash Outflow</t>
  </si>
  <si>
    <t>Scenario C · Car ownership — Monthly Economic Cost</t>
  </si>
  <si>
    <t xml:space="preserve">Monthly Cash Outflow = loan payment + petrol + parking + ERP + insurance + maintenance + other costs (excludes depreciation).
Monthly Economic Cost = Cash Outflow + depreciation (annual ÷ 12). Upfront cash outlay is shown on the INPUTS tab — read both together before deciding.</t>
  </si>
  <si>
    <t>DIFFERENCE BETWEEN SCENARIOS</t>
  </si>
  <si>
    <t>Adding Grab / taxi (B − A)</t>
  </si>
  <si>
    <t>Owning a car instead of MRT + Grab (Economic Cost − B)</t>
  </si>
  <si>
    <t>Car Cash Outflow vs MRT + Grab (Cash Outflow − B)</t>
  </si>
  <si>
    <t>Relative cost — car Economic Cost ÷ MRT + Grab</t>
  </si>
  <si>
    <t>WHICH SCENARIO IS CHEAPER FOR YOU?</t>
  </si>
  <si>
    <t>Overall verdict (Economic Cost)</t>
  </si>
  <si>
    <t>Tip: Compare Economic Cost (includes depreciation) for true cost of ownership. Cash Outflow shows actual monthly cash spending. Upfront cash required is on the INPUTS tab.</t>
  </si>
  <si>
    <t>STEP 3 · STRESS-TEST YOUR ASSUMPTIONS</t>
  </si>
  <si>
    <t>Change the yellow INPUTS and watch every figure update instantly. The tools below answer “what would have to change?”</t>
  </si>
  <si>
    <t>BREAK-EVEN ANALYSIS — HOW HIGH WOULD YOUR GRAB BILL HAVE TO GO?</t>
  </si>
  <si>
    <t>Your current monthly Grab / taxi spend (from INPUTS)</t>
  </si>
  <si>
    <t>Editable on the INPUTS tab.</t>
  </si>
  <si>
    <t>Break-even monthly Grab / taxi spend</t>
  </si>
  <si>
    <t>The Grab / taxi bill at which MRT + Grab would cost the same as owning a car under your assumptions.</t>
  </si>
  <si>
    <t>What this means for you</t>
  </si>
  <si>
    <t>SENSITIVITY — MONTHLY ECONOMIC COST (INCLUDES DEPRECIATION)</t>
  </si>
  <si>
    <t>Annual depreciation ↓   /   Petrol →</t>
  </si>
  <si>
    <t>Each cell is the Monthly Economic Cost (Cash Outflow + depreciation) of owning a car for that combination of annual depreciation and petrol spend (all other inputs stay as entered on the INPUTS tab). Compare with your monthly MRT + Grab total on the COMPARISON tab.</t>
  </si>
  <si>
    <t>SENSITIVITY — MONTHLY CASH OUTFLOW (EXCLUDES DEPRECIATION)</t>
  </si>
  <si>
    <t>Annual depreciation (not in cash outflow) ↓   /   Petrol →</t>
  </si>
  <si>
    <t>Each cell is the Monthly Cash Outflow (excludes depreciation) of owning a car. This represents actual monthly cash spending. Compare with your monthly MRT + Grab total on the COMPARISON tab to understand cash flow impact.</t>
  </si>
  <si>
    <t>TRY THESE QUICK EXPERIMENTS</t>
  </si>
  <si>
    <t>•  Set your expected Grab / taxi spend to what you think you will really pay after buying a car — most households keep some ride-hailing use.</t>
  </si>
  <si>
    <t>•  Test a pessimistic depreciation figure (cars depreciate fastest in the first years).</t>
  </si>
  <si>
    <t>•  Add 20–30% to petrol and parking to see whether the verdict survives a bad year.</t>
  </si>
  <si>
    <t>•  Change the loan payment to 0 to compare an all-cash purchase financed by your own money.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</si>
</sst>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$&quot;#,##0"/>
    <numFmt numFmtId="165" formatCode="&quot;S$&quot;#,##0&quot;/mo petrol&quot;"/>
    <numFmt numFmtId="166" formatCode="&quot;S$&quot;#,##0&quot;/yr depreciation&quot;"/>
  </numFmts>
  <fonts count="14" x14ac:knownFonts="1">
    <font>
      <color theme="1"/>
      <family val="2"/>
      <scheme val="minor"/>
      <sz val="11"/>
      <name val="Calibri"/>
    </font>
    <font>
      <b/>
      <color rgb="FFFFFFFF"/>
      <sz val="26"/>
      <name val="Calibri"/>
    </font>
    <font>
      <b/>
      <color rgb="FFFFFFFF"/>
      <sz val="14"/>
      <name val="Calibri"/>
    </font>
    <font>
      <i/>
      <color rgb="FF0F172A"/>
      <sz val="12"/>
      <name val="Calibri"/>
    </font>
    <font>
      <b/>
      <color rgb="FFFFFFFF"/>
      <sz val="11"/>
      <name val="Calibri"/>
    </font>
    <font>
      <color rgb="FF0F172A"/>
      <sz val="11"/>
      <name val="Calibri"/>
    </font>
    <font>
      <b/>
      <color rgb="FF0F172A"/>
      <sz val="11"/>
      <name val="Calibri"/>
    </font>
    <font>
      <color rgb="FF64748B"/>
      <sz val="9"/>
      <name val="Calibri"/>
    </font>
    <font>
      <b/>
      <color rgb="FFFFFFFF"/>
      <sz val="15"/>
      <name val="Calibri"/>
    </font>
    <font>
      <i/>
      <color rgb="FF64748B"/>
      <sz val="10"/>
      <name val="Calibri"/>
    </font>
    <font>
      <i/>
      <color rgb="FF64748B"/>
      <sz val="9"/>
      <name val="Calibri"/>
    </font>
    <font>
      <b/>
      <color rgb="FFFFFFFF"/>
      <sz val="10"/>
      <name val="Calibri"/>
    </font>
    <font>
      <b/>
      <color rgb="FF0F172A"/>
      <sz val="10"/>
      <name val="Calibri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FFF3C4"/>
      </patternFill>
    </fill>
    <fill>
      <patternFill patternType="solid">
        <fgColor rgb="FFEFF4FF"/>
      </patternFill>
    </fill>
    <fill>
      <patternFill patternType="solid">
        <fgColor rgb="FFDBEAFE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 indent="1"/>
    </xf>
    <xf numFmtId="0" fontId="5" fillId="0" borderId="0" xfId="0" applyFont="1" applyAlignment="1">
      <alignment vertical="top" wrapText="1" indent="1"/>
    </xf>
    <xf numFmtId="0" fontId="6" fillId="4" borderId="1" xfId="0" applyFont="1" applyFill="1" applyBorder="1" applyAlignment="1">
      <alignment vertical="center" wrapText="1" indent="1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5" fillId="0" borderId="0" xfId="0" applyFont="1" applyAlignment="1">
      <alignment vertical="center" wrapText="1"/>
    </xf>
    <xf numFmtId="164" fontId="6" fillId="4" borderId="1" xfId="0" applyNumberFormat="1" applyFont="1" applyFill="1" applyBorder="1" applyAlignment="1" applyProtection="1">
      <alignment horizontal="right" vertical="center"/>
      <protection locked="0"/>
    </xf>
    <xf numFmtId="0" fontId="10" fillId="0" borderId="0" xfId="0" applyFont="1" applyAlignment="1">
      <alignment vertical="center" wrapText="1"/>
    </xf>
    <xf numFmtId="164" fontId="6" fillId="5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vertical="center" wrapText="1" indent="1"/>
    </xf>
    <xf numFmtId="0" fontId="6" fillId="0" borderId="0" xfId="0" applyFont="1" applyAlignment="1">
      <alignment vertical="center" wrapText="1" indent="1"/>
    </xf>
    <xf numFmtId="164" fontId="6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vertical="top" wrapText="1" indent="1"/>
    </xf>
    <xf numFmtId="0" fontId="6" fillId="0" borderId="0" xfId="0" applyFont="1" applyAlignment="1">
      <alignment vertical="center" indent="1"/>
    </xf>
    <xf numFmtId="0" fontId="6" fillId="6" borderId="1" xfId="0" applyFont="1" applyFill="1" applyBorder="1" applyAlignment="1">
      <alignment vertical="center" wrapText="1" indent="1"/>
    </xf>
    <xf numFmtId="0" fontId="9" fillId="0" borderId="0" xfId="0" applyFont="1" applyAlignment="1">
      <alignment vertical="center" wrapText="1" indent="1"/>
    </xf>
    <xf numFmtId="0" fontId="10" fillId="0" borderId="0" xfId="0" applyFont="1" applyAlignment="1">
      <alignment vertical="center" wrapText="1" indent="1"/>
    </xf>
    <xf numFmtId="0" fontId="6" fillId="6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vertical="center" wrapText="1" indent="1"/>
    </xf>
    <xf numFmtId="165" fontId="11" fillId="2" borderId="1" xfId="0" applyNumberFormat="1" applyFont="1" applyFill="1" applyBorder="1" applyAlignment="1">
      <alignment horizontal="right" vertical="center"/>
    </xf>
    <xf numFmtId="166" fontId="12" fillId="6" borderId="1" xfId="0" applyNumberFormat="1" applyFont="1" applyFill="1" applyBorder="1" applyAlignment="1">
      <alignment vertical="center" indent="1"/>
    </xf>
    <xf numFmtId="0" fontId="13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F2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0" customWidth="1"/>
    <col min="3" max="6" width="24" customWidth="1"/>
  </cols>
  <sheetData>
    <row r="2" ht="46" customHeight="1" spans="2:6" x14ac:dyDescent="0.25">
      <c r="B2" s="1" t="s">
        <v>0</v>
      </c>
      <c r="C2" s="1"/>
      <c r="D2" s="1"/>
      <c r="E2" s="1"/>
      <c r="F2" s="1"/>
    </row>
    <row r="3" ht="30" customHeight="1" spans="2:6" x14ac:dyDescent="0.25">
      <c r="B3" s="2" t="s">
        <v>1</v>
      </c>
      <c r="C3" s="2"/>
      <c r="D3" s="2"/>
      <c r="E3" s="2"/>
      <c r="F3" s="2"/>
    </row>
    <row r="5" ht="34" customHeight="1" spans="2:6" x14ac:dyDescent="0.25">
      <c r="B5" s="3" t="s">
        <v>2</v>
      </c>
      <c r="C5" s="3"/>
      <c r="D5" s="3"/>
      <c r="E5" s="3"/>
      <c r="F5" s="3"/>
    </row>
    <row r="6" ht="24" customHeight="1" spans="2:6" x14ac:dyDescent="0.25">
      <c r="B6" s="4" t="s">
        <v>3</v>
      </c>
      <c r="C6" s="4"/>
      <c r="D6" s="4"/>
      <c r="E6" s="4"/>
      <c r="F6" s="4"/>
    </row>
    <row r="7" ht="20" customHeight="1" spans="2:6" x14ac:dyDescent="0.25">
      <c r="B7" s="5" t="s">
        <v>4</v>
      </c>
      <c r="C7" s="5"/>
      <c r="D7" s="5"/>
      <c r="E7" s="5"/>
      <c r="F7" s="5"/>
    </row>
    <row r="8" ht="32" customHeight="1" spans="2:6" x14ac:dyDescent="0.25">
      <c r="B8" s="5" t="s">
        <v>5</v>
      </c>
      <c r="C8" s="5"/>
      <c r="D8" s="5"/>
      <c r="E8" s="5"/>
      <c r="F8" s="5"/>
    </row>
    <row r="9" ht="32" customHeight="1" spans="2:6" x14ac:dyDescent="0.25">
      <c r="B9" s="5" t="s">
        <v>6</v>
      </c>
      <c r="C9" s="5"/>
      <c r="D9" s="5"/>
      <c r="E9" s="5"/>
      <c r="F9" s="5"/>
    </row>
    <row r="11" ht="24" customHeight="1" spans="2:6" x14ac:dyDescent="0.25">
      <c r="B11" s="4" t="s">
        <v>7</v>
      </c>
      <c r="C11" s="4"/>
      <c r="D11" s="4"/>
      <c r="E11" s="4"/>
      <c r="F11" s="4"/>
    </row>
    <row r="12" ht="32" customHeight="1" spans="2:6" x14ac:dyDescent="0.25">
      <c r="B12" s="5" t="s">
        <v>8</v>
      </c>
      <c r="C12" s="5"/>
      <c r="D12" s="5"/>
      <c r="E12" s="5"/>
      <c r="F12" s="5"/>
    </row>
    <row r="14" ht="24" customHeight="1" spans="2:6" x14ac:dyDescent="0.25">
      <c r="B14" s="4" t="s">
        <v>9</v>
      </c>
      <c r="C14" s="4"/>
      <c r="D14" s="4"/>
      <c r="E14" s="4"/>
      <c r="F14" s="4"/>
    </row>
    <row r="15" ht="20" customHeight="1" spans="2:6" x14ac:dyDescent="0.25">
      <c r="B15" s="5" t="s">
        <v>10</v>
      </c>
      <c r="C15" s="5"/>
      <c r="D15" s="5"/>
      <c r="E15" s="5"/>
      <c r="F15" s="5"/>
    </row>
    <row r="16" ht="20" customHeight="1" spans="2:6" x14ac:dyDescent="0.25">
      <c r="B16" s="5" t="s">
        <v>11</v>
      </c>
      <c r="C16" s="5"/>
      <c r="D16" s="5"/>
      <c r="E16" s="5"/>
      <c r="F16" s="5"/>
    </row>
    <row r="17" ht="32" customHeight="1" spans="2:6" x14ac:dyDescent="0.25">
      <c r="B17" s="5" t="s">
        <v>12</v>
      </c>
      <c r="C17" s="5"/>
      <c r="D17" s="5"/>
      <c r="E17" s="5"/>
      <c r="F17" s="5"/>
    </row>
    <row r="19" ht="24" customHeight="1" spans="2:6" x14ac:dyDescent="0.25">
      <c r="B19" s="4" t="s">
        <v>13</v>
      </c>
      <c r="C19" s="4"/>
      <c r="D19" s="4"/>
      <c r="E19" s="4"/>
      <c r="F19" s="4"/>
    </row>
    <row r="20" ht="20" customHeight="1" spans="2:6" x14ac:dyDescent="0.25">
      <c r="B20" s="5" t="s">
        <v>14</v>
      </c>
      <c r="C20" s="5"/>
      <c r="D20" s="5"/>
      <c r="E20" s="5"/>
      <c r="F20" s="5"/>
    </row>
    <row r="21" ht="32" customHeight="1" spans="2:6" x14ac:dyDescent="0.25">
      <c r="B21" s="5" t="s">
        <v>15</v>
      </c>
      <c r="C21" s="5"/>
      <c r="D21" s="5"/>
      <c r="E21" s="5"/>
      <c r="F21" s="5"/>
    </row>
    <row r="22" ht="20" customHeight="1" spans="2:6" x14ac:dyDescent="0.25">
      <c r="B22" s="5" t="s">
        <v>16</v>
      </c>
      <c r="C22" s="5"/>
      <c r="D22" s="5"/>
      <c r="E22" s="5"/>
      <c r="F22" s="5"/>
    </row>
    <row r="24" ht="30" customHeight="1" spans="2:6" x14ac:dyDescent="0.25">
      <c r="B24" s="6" t="s">
        <v>17</v>
      </c>
      <c r="C24" s="6"/>
      <c r="D24" s="6"/>
      <c r="E24" s="6"/>
      <c r="F24" s="6"/>
    </row>
    <row r="26" spans="2:6" x14ac:dyDescent="0.25">
      <c r="B26" s="7" t="s">
        <v>18</v>
      </c>
      <c r="C26" s="7"/>
      <c r="D26" s="7"/>
      <c r="E26" s="7"/>
      <c r="F26" s="7"/>
    </row>
  </sheetData>
  <mergeCells count="19">
    <mergeCell ref="B2:F2"/>
    <mergeCell ref="B3:F3"/>
    <mergeCell ref="B5:F5"/>
    <mergeCell ref="B6:F6"/>
    <mergeCell ref="B7:F7"/>
    <mergeCell ref="B8:F8"/>
    <mergeCell ref="B9:F9"/>
    <mergeCell ref="B11:F11"/>
    <mergeCell ref="B12:F12"/>
    <mergeCell ref="B14:F14"/>
    <mergeCell ref="B15:F15"/>
    <mergeCell ref="B16:F16"/>
    <mergeCell ref="B17:F17"/>
    <mergeCell ref="B19:F19"/>
    <mergeCell ref="B20:F20"/>
    <mergeCell ref="B21:F21"/>
    <mergeCell ref="B22:F22"/>
    <mergeCell ref="B24:F24"/>
    <mergeCell ref="B26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B1:F2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6" customWidth="1"/>
    <col min="3" max="3" width="16" customWidth="1"/>
    <col min="4" max="6" width="22" customWidth="1"/>
  </cols>
  <sheetData>
    <row r="1" ht="34" customHeight="1" spans="2:6" x14ac:dyDescent="0.25">
      <c r="B1" s="8" t="s">
        <v>19</v>
      </c>
      <c r="C1" s="8"/>
      <c r="D1" s="8"/>
      <c r="E1" s="8"/>
      <c r="F1" s="8"/>
    </row>
    <row r="2" ht="20" customHeight="1" spans="2:6" x14ac:dyDescent="0.25">
      <c r="B2" s="9" t="s">
        <v>20</v>
      </c>
      <c r="C2" s="9"/>
      <c r="D2" s="9"/>
      <c r="E2" s="9"/>
      <c r="F2" s="9"/>
    </row>
    <row r="4" ht="24" customHeight="1" spans="2:6" x14ac:dyDescent="0.25">
      <c r="B4" s="4" t="s">
        <v>21</v>
      </c>
      <c r="C4" s="4"/>
      <c r="D4" s="4"/>
      <c r="E4" s="4"/>
      <c r="F4" s="4"/>
    </row>
    <row r="5" ht="22" customHeight="1" spans="2:6" x14ac:dyDescent="0.25">
      <c r="B5" s="10" t="s">
        <v>22</v>
      </c>
      <c r="C5" s="11">
        <v>120</v>
      </c>
      <c r="D5" s="12" t="s">
        <v>23</v>
      </c>
      <c r="E5" s="12"/>
      <c r="F5" s="12"/>
    </row>
    <row r="6" ht="24" customHeight="1" spans="2:6" x14ac:dyDescent="0.25">
      <c r="B6" s="4" t="s">
        <v>24</v>
      </c>
      <c r="C6" s="4"/>
      <c r="D6" s="4"/>
      <c r="E6" s="4"/>
      <c r="F6" s="4"/>
    </row>
    <row r="7" ht="22" customHeight="1" spans="2:6" x14ac:dyDescent="0.25">
      <c r="B7" s="10" t="s">
        <v>25</v>
      </c>
      <c r="C7" s="11">
        <v>300</v>
      </c>
      <c r="D7" s="12" t="s">
        <v>26</v>
      </c>
      <c r="E7" s="12"/>
      <c r="F7" s="12"/>
    </row>
    <row r="8" ht="24" customHeight="1" spans="2:6" x14ac:dyDescent="0.25">
      <c r="B8" s="4" t="s">
        <v>27</v>
      </c>
      <c r="C8" s="4"/>
      <c r="D8" s="4"/>
      <c r="E8" s="4"/>
      <c r="F8" s="4"/>
    </row>
    <row r="9" ht="22" customHeight="1" spans="2:6" x14ac:dyDescent="0.25">
      <c r="B9" s="10" t="s">
        <v>28</v>
      </c>
      <c r="C9" s="11">
        <v>70000</v>
      </c>
      <c r="D9" s="12" t="s">
        <v>29</v>
      </c>
      <c r="E9" s="12"/>
      <c r="F9" s="12"/>
    </row>
    <row r="10" ht="22" customHeight="1" spans="2:6" x14ac:dyDescent="0.25">
      <c r="B10" s="10" t="s">
        <v>30</v>
      </c>
      <c r="C10" s="11">
        <v>95000</v>
      </c>
      <c r="D10" s="12" t="s">
        <v>31</v>
      </c>
      <c r="E10" s="12"/>
      <c r="F10" s="12"/>
    </row>
    <row r="11" ht="22" customHeight="1" spans="2:6" x14ac:dyDescent="0.25">
      <c r="B11" s="10" t="s">
        <v>32</v>
      </c>
      <c r="C11" s="11">
        <v>70000</v>
      </c>
      <c r="D11" s="12" t="s">
        <v>33</v>
      </c>
      <c r="E11" s="12"/>
      <c r="F11" s="12"/>
    </row>
    <row r="12" ht="22" customHeight="1" spans="2:6" x14ac:dyDescent="0.25">
      <c r="B12" s="10" t="s">
        <v>34</v>
      </c>
      <c r="C12" s="11">
        <v>1330</v>
      </c>
      <c r="D12" s="12" t="s">
        <v>35</v>
      </c>
      <c r="E12" s="12"/>
      <c r="F12" s="12"/>
    </row>
    <row r="13" ht="24" customHeight="1" spans="2:6" x14ac:dyDescent="0.25">
      <c r="B13" s="4" t="s">
        <v>36</v>
      </c>
      <c r="C13" s="4"/>
      <c r="D13" s="4"/>
      <c r="E13" s="4"/>
      <c r="F13" s="4"/>
    </row>
    <row r="14" ht="22" customHeight="1" spans="2:6" x14ac:dyDescent="0.25">
      <c r="B14" s="10" t="s">
        <v>37</v>
      </c>
      <c r="C14" s="11">
        <v>250</v>
      </c>
      <c r="D14" s="12" t="s">
        <v>38</v>
      </c>
      <c r="E14" s="12"/>
      <c r="F14" s="12"/>
    </row>
    <row r="15" ht="22" customHeight="1" spans="2:6" x14ac:dyDescent="0.25">
      <c r="B15" s="10" t="s">
        <v>39</v>
      </c>
      <c r="C15" s="11">
        <v>250</v>
      </c>
      <c r="D15" s="12" t="s">
        <v>40</v>
      </c>
      <c r="E15" s="12"/>
      <c r="F15" s="12"/>
    </row>
    <row r="16" ht="22" customHeight="1" spans="2:6" x14ac:dyDescent="0.25">
      <c r="B16" s="10" t="s">
        <v>41</v>
      </c>
      <c r="C16" s="11">
        <v>80</v>
      </c>
      <c r="D16" s="12" t="s">
        <v>42</v>
      </c>
      <c r="E16" s="12"/>
      <c r="F16" s="12"/>
    </row>
    <row r="17" ht="22" customHeight="1" spans="2:6" x14ac:dyDescent="0.25">
      <c r="B17" s="10" t="s">
        <v>43</v>
      </c>
      <c r="C17" s="11">
        <v>200</v>
      </c>
      <c r="D17" s="12" t="s">
        <v>44</v>
      </c>
      <c r="E17" s="12"/>
      <c r="F17" s="12"/>
    </row>
    <row r="18" ht="22" customHeight="1" spans="2:6" x14ac:dyDescent="0.25">
      <c r="B18" s="10" t="s">
        <v>45</v>
      </c>
      <c r="C18" s="11">
        <v>150</v>
      </c>
      <c r="D18" s="12" t="s">
        <v>46</v>
      </c>
      <c r="E18" s="12"/>
      <c r="F18" s="12"/>
    </row>
    <row r="19" ht="22" customHeight="1" spans="2:6" x14ac:dyDescent="0.25">
      <c r="B19" s="10" t="s">
        <v>47</v>
      </c>
      <c r="C19" s="11">
        <v>50</v>
      </c>
      <c r="D19" s="12" t="s">
        <v>48</v>
      </c>
      <c r="E19" s="12"/>
      <c r="F19" s="12"/>
    </row>
    <row r="20" ht="24" customHeight="1" spans="2:6" x14ac:dyDescent="0.25">
      <c r="B20" s="4" t="s">
        <v>49</v>
      </c>
      <c r="C20" s="4"/>
      <c r="D20" s="4"/>
      <c r="E20" s="4"/>
      <c r="F20" s="4"/>
    </row>
    <row r="21" ht="22" customHeight="1" spans="2:6" x14ac:dyDescent="0.25">
      <c r="B21" s="10" t="s">
        <v>50</v>
      </c>
      <c r="C21" s="11">
        <v>12000</v>
      </c>
      <c r="D21" s="12" t="s">
        <v>51</v>
      </c>
      <c r="E21" s="12"/>
      <c r="F21" s="12"/>
    </row>
    <row r="23" ht="22" customHeight="1" spans="2:6" x14ac:dyDescent="0.25">
      <c r="B23" s="10" t="s">
        <v>52</v>
      </c>
      <c r="C23" s="13">
        <f>INPUTS!C9+INPUTS!C10-INPUTS!C11</f>
        <v>95000</v>
      </c>
      <c r="D23" s="12" t="s">
        <v>53</v>
      </c>
      <c r="E23" s="12"/>
      <c r="F23" s="12"/>
    </row>
  </sheetData>
  <sheetProtection sheet="1"/>
  <mergeCells count="21">
    <mergeCell ref="B1:F1"/>
    <mergeCell ref="B2:F2"/>
    <mergeCell ref="B4:F4"/>
    <mergeCell ref="D5:F5"/>
    <mergeCell ref="B6:F6"/>
    <mergeCell ref="D7:F7"/>
    <mergeCell ref="B8:F8"/>
    <mergeCell ref="D9:F9"/>
    <mergeCell ref="D10:F10"/>
    <mergeCell ref="D11:F11"/>
    <mergeCell ref="D12:F12"/>
    <mergeCell ref="B13:F13"/>
    <mergeCell ref="D14:F14"/>
    <mergeCell ref="D15:F15"/>
    <mergeCell ref="D16:F16"/>
    <mergeCell ref="D17:F17"/>
    <mergeCell ref="D18:F18"/>
    <mergeCell ref="D19:F19"/>
    <mergeCell ref="B20:F20"/>
    <mergeCell ref="D21:F21"/>
    <mergeCell ref="D23:F23"/>
  </mergeCells>
  <dataValidations count="6">
    <dataValidation type="decimal" operator="greaterThanOrEqual" showErrorMessage="1" errorTitle="Invalid amount" error="Please enter a non-negative number." sqref="C10:C12">
      <formula1>0</formula1>
    </dataValidation>
    <dataValidation type="decimal" operator="greaterThanOrEqual" showErrorMessage="1" errorTitle="Invalid amount" error="Please enter a non-negative number." sqref="C14:C19">
      <formula1>0</formula1>
    </dataValidation>
    <dataValidation type="decimal" operator="greaterThanOrEqual" showErrorMessage="1" errorTitle="Invalid amount" error="Please enter a non-negative number." sqref="C21">
      <formula1>0</formula1>
    </dataValidation>
    <dataValidation type="decimal" operator="greaterThanOrEqual" showErrorMessage="1" errorTitle="Invalid amount" error="Please enter a non-negative number." sqref="C5">
      <formula1>0</formula1>
    </dataValidation>
    <dataValidation type="decimal" operator="greaterThanOrEqual" showErrorMessage="1" errorTitle="Invalid amount" error="Please enter a non-negative number." sqref="C7">
      <formula1>0</formula1>
    </dataValidation>
    <dataValidation type="decimal" operator="greaterThanOrEqual" showErrorMessage="1" errorTitle="Invalid amount" error="Please enter a non-negative number." sqref="C9:C12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B1:F2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4" customWidth="1"/>
    <col min="3" max="5" width="18" customWidth="1"/>
  </cols>
  <sheetData>
    <row r="1" ht="34" customHeight="1" spans="2:6" x14ac:dyDescent="0.25">
      <c r="B1" s="8" t="s">
        <v>54</v>
      </c>
      <c r="C1" s="8"/>
      <c r="D1" s="8"/>
      <c r="E1" s="8"/>
      <c r="F1" s="8"/>
    </row>
    <row r="2" ht="20" customHeight="1" spans="2:6" x14ac:dyDescent="0.25">
      <c r="B2" s="9" t="s">
        <v>55</v>
      </c>
      <c r="C2" s="9"/>
      <c r="D2" s="9"/>
      <c r="E2" s="9"/>
      <c r="F2" s="9"/>
    </row>
    <row r="4" ht="24" customHeight="1" spans="2:5" x14ac:dyDescent="0.25">
      <c r="B4" s="14" t="s">
        <v>56</v>
      </c>
      <c r="C4" s="15" t="s">
        <v>57</v>
      </c>
      <c r="D4" s="15" t="s">
        <v>58</v>
      </c>
      <c r="E4" s="15" t="s">
        <v>59</v>
      </c>
    </row>
    <row r="5" ht="24" customHeight="1" spans="2:5" x14ac:dyDescent="0.25">
      <c r="B5" s="16" t="s">
        <v>60</v>
      </c>
      <c r="C5" s="13">
        <f>INPUTS!C5</f>
        <v>120</v>
      </c>
      <c r="D5" s="13">
        <f>INPUTS!C5*12</f>
        <v>1440</v>
      </c>
      <c r="E5" s="13">
        <f>INPUTS!C5*120</f>
        <v>14400</v>
      </c>
    </row>
    <row r="6" ht="24" customHeight="1" spans="2:5" x14ac:dyDescent="0.25">
      <c r="B6" s="16" t="s">
        <v>61</v>
      </c>
      <c r="C6" s="13">
        <f>INPUTS!C5+INPUTS!C7</f>
        <v>420</v>
      </c>
      <c r="D6" s="13">
        <f>(INPUTS!C5+INPUTS!C7)*12</f>
        <v>5040</v>
      </c>
      <c r="E6" s="13">
        <f>(INPUTS!C5+INPUTS!C7)*120</f>
        <v>50400</v>
      </c>
    </row>
    <row r="7" ht="24" customHeight="1" spans="2:5" x14ac:dyDescent="0.25">
      <c r="B7" s="16" t="s">
        <v>62</v>
      </c>
      <c r="C7" s="13">
        <f>INPUTS!C12+INPUTS!C14+INPUTS!C15+INPUTS!C16+INPUTS!C17+INPUTS!C18+INPUTS!C19</f>
        <v>NaN</v>
      </c>
      <c r="D7" s="13">
        <f>(INPUTS!C12+INPUTS!C14+INPUTS!C15+INPUTS!C16+INPUTS!C17+INPUTS!C18+INPUTS!C19)*12</f>
        <v>NaN</v>
      </c>
      <c r="E7" s="13">
        <f>(INPUTS!C12+INPUTS!C14+INPUTS!C15+INPUTS!C16+INPUTS!C17+INPUTS!C18+INPUTS!C19)*120</f>
        <v>NaN</v>
      </c>
    </row>
    <row r="8" ht="24" customHeight="1" spans="2:5" x14ac:dyDescent="0.25">
      <c r="B8" s="17" t="s">
        <v>63</v>
      </c>
      <c r="C8" s="18">
        <f>INPUTS!C12+INPUTS!C14+INPUTS!C15+INPUTS!C16+INPUTS!C17+INPUTS!C18+INPUTS!C19+INPUTS!C21/12</f>
        <v>3310</v>
      </c>
      <c r="D8" s="18">
        <f>(INPUTS!C12+INPUTS!C14+INPUTS!C15+INPUTS!C16+INPUTS!C17+INPUTS!C18+INPUTS!C19+INPUTS!C21/12)*12</f>
        <v>39720</v>
      </c>
      <c r="E8" s="18">
        <f>(INPUTS!C12+INPUTS!C14+INPUTS!C15+INPUTS!C16+INPUTS!C17+INPUTS!C18+INPUTS!C19+INPUTS!C21/12)*120</f>
        <v>397200</v>
      </c>
    </row>
    <row r="9" ht="36" customHeight="1" spans="2:5" x14ac:dyDescent="0.25">
      <c r="B9" s="19" t="s">
        <v>64</v>
      </c>
      <c r="C9" s="19"/>
      <c r="D9" s="19"/>
      <c r="E9" s="19"/>
    </row>
    <row r="11" ht="24" customHeight="1" spans="2:6" x14ac:dyDescent="0.25">
      <c r="B11" s="4" t="s">
        <v>65</v>
      </c>
      <c r="C11" s="4"/>
      <c r="D11" s="4"/>
      <c r="E11" s="4"/>
      <c r="F11" s="4"/>
    </row>
    <row r="12" ht="22" customHeight="1" spans="2:5" x14ac:dyDescent="0.25">
      <c r="B12" s="16" t="s">
        <v>66</v>
      </c>
      <c r="C12" s="13">
        <f>INPUTS!C7</f>
        <v>300</v>
      </c>
      <c r="D12" s="13">
        <f>INPUTS!C7*12</f>
        <v>3600</v>
      </c>
      <c r="E12" s="13">
        <f>INPUTS!C7*120</f>
        <v>36000</v>
      </c>
    </row>
    <row r="13" ht="22" customHeight="1" spans="2:5" x14ac:dyDescent="0.25">
      <c r="B13" s="16" t="s">
        <v>67</v>
      </c>
      <c r="C13" s="13">
        <f>C8-C6</f>
        <v>2890</v>
      </c>
      <c r="D13" s="13">
        <f>D8-D6</f>
        <v>34680</v>
      </c>
      <c r="E13" s="13">
        <f>E8-E6</f>
        <v>346800</v>
      </c>
    </row>
    <row r="14" ht="22" customHeight="1" spans="2:5" x14ac:dyDescent="0.25">
      <c r="B14" s="16" t="s">
        <v>68</v>
      </c>
      <c r="C14" s="13">
        <f>C7-C6</f>
        <v>NaN</v>
      </c>
      <c r="D14" s="13">
        <f>D7-D6</f>
        <v>NaN</v>
      </c>
      <c r="E14" s="13">
        <f>E7-E6</f>
        <v>NaN</v>
      </c>
    </row>
    <row r="15" ht="22" customHeight="1" spans="2:5" x14ac:dyDescent="0.25">
      <c r="B15" s="16" t="s">
        <v>69</v>
      </c>
      <c r="C15" s="13">
        <f>IF(C6&gt;0,C8/C6,"n/a")</f>
        <v>7.880952380952381</v>
      </c>
      <c r="D15" s="13">
        <f>IF(D6&gt;0,D8/D6,"n/a")</f>
        <v>7.880952380952381</v>
      </c>
      <c r="E15" s="13">
        <f>IF(E6&gt;0,E8/E6,"n/a")</f>
        <v>7.880952380952381</v>
      </c>
    </row>
    <row r="16" ht="24" customHeight="1" spans="2:6" x14ac:dyDescent="0.25">
      <c r="B16" s="4" t="s">
        <v>70</v>
      </c>
      <c r="C16" s="4"/>
      <c r="D16" s="4"/>
      <c r="E16" s="4"/>
      <c r="F16" s="4"/>
    </row>
    <row r="17" ht="26" customHeight="1" spans="2:5" x14ac:dyDescent="0.25">
      <c r="B17" s="20" t="s">
        <v>71</v>
      </c>
      <c r="C17" s="21" t="str">
        <f>IF(C8&gt;C6,"Under your current assumptions, MRT + Grab is CHEAPER than owning a car (Economic Cost).","Under your current assumptions, owning a car is CHEAPER than MRT + Grab (Economic Cost).")</f>
        <v>Under your current assumptions, MRT + Grab is CHEAPER than owning a car (Economic Cost).</v>
      </c>
      <c r="D17" s="21"/>
      <c r="E17" s="21"/>
    </row>
    <row r="18" ht="22" customHeight="1" spans="2:5" x14ac:dyDescent="0.25">
      <c r="B18" s="22" t="str">
        <f>"At your assumed Grab / taxi spend, a car (Economic Cost) costs about "&amp;TEXT(MAX(0,C8-C6),"S$#,##0")&amp;" more (or less) per month than MRT + Grab. Cash Outflow difference: "&amp;TEXT(MAX(0,C7-C6),"S$#,##0")</f>
        <v>At your assumed Grab / taxi spend, a car (Economic Cost) costs about S$2,890 more (or less) per month than MRT + Grab. Cash Outflow difference: S$NaN</v>
      </c>
      <c r="C18" s="22"/>
      <c r="D18" s="22"/>
      <c r="E18" s="22"/>
    </row>
    <row r="20" spans="2:5" x14ac:dyDescent="0.25">
      <c r="B20" s="23" t="s">
        <v>72</v>
      </c>
      <c r="C20" s="23"/>
      <c r="D20" s="23"/>
      <c r="E20" s="23"/>
    </row>
  </sheetData>
  <mergeCells count="8">
    <mergeCell ref="B1:F1"/>
    <mergeCell ref="B2:F2"/>
    <mergeCell ref="B9:E9"/>
    <mergeCell ref="B11:F11"/>
    <mergeCell ref="B16:F16"/>
    <mergeCell ref="C17:E17"/>
    <mergeCell ref="B18:E18"/>
    <mergeCell ref="B20:E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33EA"/>
  </sheetPr>
  <dimension ref="B1:F31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4" customWidth="1"/>
    <col min="3" max="5" width="18" customWidth="1"/>
  </cols>
  <sheetData>
    <row r="1" ht="34" customHeight="1" spans="2:6" x14ac:dyDescent="0.25">
      <c r="B1" s="8" t="s">
        <v>73</v>
      </c>
      <c r="C1" s="8"/>
      <c r="D1" s="8"/>
      <c r="E1" s="8"/>
      <c r="F1" s="8"/>
    </row>
    <row r="2" ht="20" customHeight="1" spans="2:6" x14ac:dyDescent="0.25">
      <c r="B2" s="9" t="s">
        <v>74</v>
      </c>
      <c r="C2" s="9"/>
      <c r="D2" s="9"/>
      <c r="E2" s="9"/>
      <c r="F2" s="9"/>
    </row>
    <row r="4" ht="24" customHeight="1" spans="2:6" x14ac:dyDescent="0.25">
      <c r="B4" s="4" t="s">
        <v>75</v>
      </c>
      <c r="C4" s="4"/>
      <c r="D4" s="4"/>
      <c r="E4" s="4"/>
      <c r="F4" s="4"/>
    </row>
    <row r="5" ht="22" customHeight="1" spans="2:6" x14ac:dyDescent="0.25">
      <c r="B5" s="10" t="s">
        <v>76</v>
      </c>
      <c r="C5" s="13">
        <f>INPUTS!C7</f>
        <v>300</v>
      </c>
      <c r="D5" s="12" t="s">
        <v>77</v>
      </c>
      <c r="E5" s="12"/>
      <c r="F5" s="12"/>
    </row>
    <row r="6" ht="22" customHeight="1" spans="2:6" x14ac:dyDescent="0.25">
      <c r="B6" s="10" t="s">
        <v>78</v>
      </c>
      <c r="C6" s="18">
        <f>MAX(0,(INPUTS!C12+INPUTS!C14+INPUTS!C15+INPUTS!C16+INPUTS!C17+INPUTS!C18+INPUTS!C19+INPUTS!C21/12)-INPUTS!C5)</f>
        <v>3190</v>
      </c>
      <c r="D6" s="12" t="s">
        <v>79</v>
      </c>
      <c r="E6" s="12"/>
      <c r="F6" s="12"/>
    </row>
    <row r="7" ht="22" customHeight="1" spans="2:3" x14ac:dyDescent="0.25">
      <c r="B7" s="10" t="s">
        <v>80</v>
      </c>
      <c r="C7" s="24" t="str">
        <f>IF(INPUTS!C7&gt;=MAX(0,(INPUTS!C12+INPUTS!C14+INPUTS!C15+INPUTS!C16+INPUTS!C17+INPUTS!C18+INPUTS!C19+INPUTS!C21/12)-INPUTS!C5),"Your Grab / taxi spending is AT or ABOVE break-even — under your assumptions, a car may be financially rational.","A car only becomes cost-comparable if your monthly Grab / taxi spend rises to the break-even level above.")</f>
        <v>A car only becomes cost-comparable if your monthly Grab / taxi spend rises to the break-even level above.</v>
      </c>
    </row>
    <row r="9" ht="24" customHeight="1" spans="2:6" x14ac:dyDescent="0.25">
      <c r="B9" s="4" t="s">
        <v>81</v>
      </c>
      <c r="C9" s="4"/>
      <c r="D9" s="4"/>
      <c r="E9" s="4"/>
      <c r="F9" s="4"/>
    </row>
    <row r="10" ht="26" customHeight="1" spans="2:5" x14ac:dyDescent="0.25">
      <c r="B10" s="25" t="s">
        <v>82</v>
      </c>
      <c r="C10" s="26">
        <v>150</v>
      </c>
      <c r="D10" s="26">
        <v>250</v>
      </c>
      <c r="E10" s="26">
        <v>350</v>
      </c>
    </row>
    <row r="11" ht="22" customHeight="1" spans="2:5" x14ac:dyDescent="0.25">
      <c r="B11" s="27">
        <v>6000</v>
      </c>
      <c r="C11" s="13">
        <f>INPUTS!C12+INPUTS!C15+INPUTS!C16+INPUTS!C17+INPUTS!C18+INPUTS!C19+$B11/12+C$10</f>
        <v>2710</v>
      </c>
      <c r="D11" s="13">
        <f>INPUTS!C12+INPUTS!C15+INPUTS!C16+INPUTS!C17+INPUTS!C18+INPUTS!C19+$B11/12+D$10</f>
        <v>2810</v>
      </c>
      <c r="E11" s="13">
        <f>INPUTS!C12+INPUTS!C15+INPUTS!C16+INPUTS!C17+INPUTS!C18+INPUTS!C19+$B11/12+E$10</f>
        <v>2910</v>
      </c>
    </row>
    <row r="12" ht="22" customHeight="1" spans="2:5" x14ac:dyDescent="0.25">
      <c r="B12" s="27">
        <v>9000</v>
      </c>
      <c r="C12" s="13">
        <f>INPUTS!C12+INPUTS!C15+INPUTS!C16+INPUTS!C17+INPUTS!C18+INPUTS!C19+$B12/12+C$10</f>
        <v>2960</v>
      </c>
      <c r="D12" s="13">
        <f>INPUTS!C12+INPUTS!C15+INPUTS!C16+INPUTS!C17+INPUTS!C18+INPUTS!C19+$B12/12+D$10</f>
        <v>3060</v>
      </c>
      <c r="E12" s="13">
        <f>INPUTS!C12+INPUTS!C15+INPUTS!C16+INPUTS!C17+INPUTS!C18+INPUTS!C19+$B12/12+E$10</f>
        <v>3160</v>
      </c>
    </row>
    <row r="13" ht="22" customHeight="1" spans="2:5" x14ac:dyDescent="0.25">
      <c r="B13" s="27">
        <v>12000</v>
      </c>
      <c r="C13" s="13">
        <f>INPUTS!C12+INPUTS!C15+INPUTS!C16+INPUTS!C17+INPUTS!C18+INPUTS!C19+$B13/12+C$10</f>
        <v>3210</v>
      </c>
      <c r="D13" s="13">
        <f>INPUTS!C12+INPUTS!C15+INPUTS!C16+INPUTS!C17+INPUTS!C18+INPUTS!C19+$B13/12+D$10</f>
        <v>3310</v>
      </c>
      <c r="E13" s="13">
        <f>INPUTS!C12+INPUTS!C15+INPUTS!C16+INPUTS!C17+INPUTS!C18+INPUTS!C19+$B13/12+E$10</f>
        <v>3410</v>
      </c>
    </row>
    <row r="14" ht="22" customHeight="1" spans="2:5" x14ac:dyDescent="0.25">
      <c r="B14" s="27">
        <v>15000</v>
      </c>
      <c r="C14" s="13">
        <f>INPUTS!C12+INPUTS!C15+INPUTS!C16+INPUTS!C17+INPUTS!C18+INPUTS!C19+$B14/12+C$10</f>
        <v>3460</v>
      </c>
      <c r="D14" s="13">
        <f>INPUTS!C12+INPUTS!C15+INPUTS!C16+INPUTS!C17+INPUTS!C18+INPUTS!C19+$B14/12+D$10</f>
        <v>3560</v>
      </c>
      <c r="E14" s="13">
        <f>INPUTS!C12+INPUTS!C15+INPUTS!C16+INPUTS!C17+INPUTS!C18+INPUTS!C19+$B14/12+E$10</f>
        <v>3660</v>
      </c>
    </row>
    <row r="15" ht="22" customHeight="1" spans="2:5" x14ac:dyDescent="0.25">
      <c r="B15" s="27">
        <v>18000</v>
      </c>
      <c r="C15" s="13">
        <f>INPUTS!C12+INPUTS!C15+INPUTS!C16+INPUTS!C17+INPUTS!C18+INPUTS!C19+$B15/12+C$10</f>
        <v>3710</v>
      </c>
      <c r="D15" s="13">
        <f>INPUTS!C12+INPUTS!C15+INPUTS!C16+INPUTS!C17+INPUTS!C18+INPUTS!C19+$B15/12+D$10</f>
        <v>3810</v>
      </c>
      <c r="E15" s="13">
        <f>INPUTS!C12+INPUTS!C15+INPUTS!C16+INPUTS!C17+INPUTS!C18+INPUTS!C19+$B15/12+E$10</f>
        <v>3910</v>
      </c>
    </row>
    <row r="16" ht="44" customHeight="1" spans="2:5" x14ac:dyDescent="0.25">
      <c r="B16" s="19" t="s">
        <v>83</v>
      </c>
      <c r="C16" s="19"/>
      <c r="D16" s="19"/>
      <c r="E16" s="19"/>
    </row>
    <row r="18" ht="24" customHeight="1" spans="2:6" x14ac:dyDescent="0.25">
      <c r="B18" s="4" t="s">
        <v>84</v>
      </c>
      <c r="C18" s="4"/>
      <c r="D18" s="4"/>
      <c r="E18" s="4"/>
      <c r="F18" s="4"/>
    </row>
    <row r="19" ht="26" customHeight="1" spans="2:5" x14ac:dyDescent="0.25">
      <c r="B19" s="25" t="s">
        <v>85</v>
      </c>
      <c r="C19" s="26">
        <v>150</v>
      </c>
      <c r="D19" s="26">
        <v>250</v>
      </c>
      <c r="E19" s="26">
        <v>350</v>
      </c>
    </row>
    <row r="20" ht="22" customHeight="1" spans="2:5" x14ac:dyDescent="0.25">
      <c r="B20" s="27">
        <v>6000</v>
      </c>
      <c r="C20" s="13">
        <f>INPUTS!C12+INPUTS!C15+INPUTS!C16+INPUTS!C17+INPUTS!C18+INPUTS!C19+C$19</f>
        <v>2210</v>
      </c>
      <c r="D20" s="13">
        <f>INPUTS!C12+INPUTS!C15+INPUTS!C16+INPUTS!C17+INPUTS!C18+INPUTS!C19+D$19</f>
        <v>2310</v>
      </c>
      <c r="E20" s="13">
        <f>INPUTS!C12+INPUTS!C15+INPUTS!C16+INPUTS!C17+INPUTS!C18+INPUTS!C19+E$19</f>
        <v>2410</v>
      </c>
    </row>
    <row r="21" ht="22" customHeight="1" spans="2:5" x14ac:dyDescent="0.25">
      <c r="B21" s="27">
        <v>9000</v>
      </c>
      <c r="C21" s="13">
        <f>INPUTS!C12+INPUTS!C15+INPUTS!C16+INPUTS!C17+INPUTS!C18+INPUTS!C19+C$19</f>
        <v>2210</v>
      </c>
      <c r="D21" s="13">
        <f>INPUTS!C12+INPUTS!C15+INPUTS!C16+INPUTS!C17+INPUTS!C18+INPUTS!C19+D$19</f>
        <v>2310</v>
      </c>
      <c r="E21" s="13">
        <f>INPUTS!C12+INPUTS!C15+INPUTS!C16+INPUTS!C17+INPUTS!C18+INPUTS!C19+E$19</f>
        <v>2410</v>
      </c>
    </row>
    <row r="22" ht="22" customHeight="1" spans="2:5" x14ac:dyDescent="0.25">
      <c r="B22" s="27">
        <v>12000</v>
      </c>
      <c r="C22" s="13">
        <f>INPUTS!C12+INPUTS!C15+INPUTS!C16+INPUTS!C17+INPUTS!C18+INPUTS!C19+C$19</f>
        <v>2210</v>
      </c>
      <c r="D22" s="13">
        <f>INPUTS!C12+INPUTS!C15+INPUTS!C16+INPUTS!C17+INPUTS!C18+INPUTS!C19+D$19</f>
        <v>2310</v>
      </c>
      <c r="E22" s="13">
        <f>INPUTS!C12+INPUTS!C15+INPUTS!C16+INPUTS!C17+INPUTS!C18+INPUTS!C19+E$19</f>
        <v>2410</v>
      </c>
    </row>
    <row r="23" ht="22" customHeight="1" spans="2:5" x14ac:dyDescent="0.25">
      <c r="B23" s="27">
        <v>15000</v>
      </c>
      <c r="C23" s="13">
        <f>INPUTS!C12+INPUTS!C15+INPUTS!C16+INPUTS!C17+INPUTS!C18+INPUTS!C19+C$19</f>
        <v>2210</v>
      </c>
      <c r="D23" s="13">
        <f>INPUTS!C12+INPUTS!C15+INPUTS!C16+INPUTS!C17+INPUTS!C18+INPUTS!C19+D$19</f>
        <v>2310</v>
      </c>
      <c r="E23" s="13">
        <f>INPUTS!C12+INPUTS!C15+INPUTS!C16+INPUTS!C17+INPUTS!C18+INPUTS!C19+E$19</f>
        <v>2410</v>
      </c>
    </row>
    <row r="24" ht="22" customHeight="1" spans="2:5" x14ac:dyDescent="0.25">
      <c r="B24" s="27">
        <v>18000</v>
      </c>
      <c r="C24" s="13">
        <f>INPUTS!C12+INPUTS!C15+INPUTS!C16+INPUTS!C17+INPUTS!C18+INPUTS!C19+C$19</f>
        <v>2210</v>
      </c>
      <c r="D24" s="13">
        <f>INPUTS!C12+INPUTS!C15+INPUTS!C16+INPUTS!C17+INPUTS!C18+INPUTS!C19+D$19</f>
        <v>2310</v>
      </c>
      <c r="E24" s="13">
        <f>INPUTS!C12+INPUTS!C15+INPUTS!C16+INPUTS!C17+INPUTS!C18+INPUTS!C19+E$19</f>
        <v>2410</v>
      </c>
    </row>
    <row r="25" ht="44" customHeight="1" spans="2:5" x14ac:dyDescent="0.25">
      <c r="B25" s="19" t="s">
        <v>86</v>
      </c>
      <c r="C25" s="19"/>
      <c r="D25" s="19"/>
      <c r="E25" s="19"/>
    </row>
    <row r="27" ht="24" customHeight="1" spans="2:6" x14ac:dyDescent="0.25">
      <c r="B27" s="4" t="s">
        <v>87</v>
      </c>
      <c r="C27" s="4"/>
      <c r="D27" s="4"/>
      <c r="E27" s="4"/>
      <c r="F27" s="4"/>
    </row>
    <row r="28" ht="20" customHeight="1" spans="2:5" x14ac:dyDescent="0.25">
      <c r="B28" s="28" t="s">
        <v>88</v>
      </c>
      <c r="C28" s="28"/>
      <c r="D28" s="28"/>
      <c r="E28" s="28"/>
    </row>
    <row r="29" ht="20" customHeight="1" spans="2:5" x14ac:dyDescent="0.25">
      <c r="B29" s="28" t="s">
        <v>89</v>
      </c>
      <c r="C29" s="28"/>
      <c r="D29" s="28"/>
      <c r="E29" s="28"/>
    </row>
    <row r="30" ht="20" customHeight="1" spans="2:5" x14ac:dyDescent="0.25">
      <c r="B30" s="28" t="s">
        <v>90</v>
      </c>
      <c r="C30" s="28"/>
      <c r="D30" s="28"/>
      <c r="E30" s="28"/>
    </row>
    <row r="31" ht="20" customHeight="1" spans="2:5" x14ac:dyDescent="0.25">
      <c r="B31" s="28" t="s">
        <v>91</v>
      </c>
      <c r="C31" s="28"/>
      <c r="D31" s="28"/>
      <c r="E31" s="28"/>
    </row>
  </sheetData>
  <mergeCells count="14">
    <mergeCell ref="B1:F1"/>
    <mergeCell ref="B2:F2"/>
    <mergeCell ref="B4:F4"/>
    <mergeCell ref="D5:F5"/>
    <mergeCell ref="D6:F6"/>
    <mergeCell ref="B9:F9"/>
    <mergeCell ref="B16:E16"/>
    <mergeCell ref="B18:F18"/>
    <mergeCell ref="B25:E25"/>
    <mergeCell ref="B27:F27"/>
    <mergeCell ref="B28:E28"/>
    <mergeCell ref="B29:E29"/>
    <mergeCell ref="B30:E30"/>
    <mergeCell ref="B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INPUTS</vt:lpstr>
      <vt:lpstr>COMPARISON</vt:lpstr>
      <vt:lpstr>SCENARIO ANALYSIS</vt:lpstr>
    </vt:vector>
  </TitlesOfParts>
  <Company>SGEventsHub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SGEventsHub</dc:creator>
  <dc:title>Singapore Car vs MRT/Grab Total Cost Decision Calculator (2026)</dc:title>
  <dc:subject>Personal transport cost comparison — 1 year and 10 year scenarios</dc:subject>
  <dc:description>Enter your own transport habits, car costs and assumptions. Compare your estimated 1-year and 10-year cost before making a major financial commitment. For personal planning and comparison only — not financial advice.</dc:description>
  <cp:keywords/>
  <cp:category/>
  <cp:lastModifiedBy>SGEventsHub</cp:lastModifiedBy>
  <dcterms:created xsi:type="dcterms:W3CDTF">2026-09-07T10:12:56Z</dcterms:created>
  <dcterms:modified xsi:type="dcterms:W3CDTF">2026-09-07T10:12:56Z</dcterms:modified>
</cp:coreProperties>
</file>