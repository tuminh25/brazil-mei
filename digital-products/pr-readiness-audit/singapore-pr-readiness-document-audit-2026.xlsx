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TART HERE" state="visible" r:id="rId4"/>
    <sheet sheetId="2" name="PROFILE" state="visible" r:id="rId5"/>
    <sheet sheetId="3" name="DOCUMENT CHECKLIST" state="visible" r:id="rId6"/>
    <sheet sheetId="4" name="READINESS SCORE" state="visible" r:id="rId7"/>
    <sheet sheetId="5" name="ACTION PLAN" state="visible" r:id="rId8"/>
  </sheets>
  <calcPr calcId="171027"/>
</workbook>
</file>

<file path=xl/sharedStrings.xml><?xml version="1.0" encoding="utf-8"?>
<sst xmlns="http://schemas.openxmlformats.org/spreadsheetml/2006/main" count="401" uniqueCount="137">
  <si>
    <t>Singapore PR Readiness &amp; Document Audit 2026</t>
  </si>
  <si>
    <t>A practical planning tool to organise your PR application documents, track readiness, and identify gaps — NOT a prediction of approval.</t>
  </si>
  <si>
    <t>WHAT THIS WORKBOOK DOES</t>
  </si>
  <si>
    <t>• PROFILE — capture your background details (years in SG, employment, family status, etc.) for quick reference.</t>
  </si>
  <si>
    <t>• DOCUMENT CHECKLIST — list every required and supporting document, mark status (Done / Missing / N/A), add notes.</t>
  </si>
  <si>
    <t>• READINESS SCORE — automatic tally of required items vs completed, with a simple status indicator.</t>
  </si>
  <si>
    <t>• ACTION PLAN — auto-generates a prioritised list of missing items with recommended actions.</t>
  </si>
  <si>
    <t>HOW TO USE — 3 STEPS</t>
  </si>
  <si>
    <t>STEP 1 · Go to PROFILE and fill in your details.</t>
  </si>
  <si>
    <t>STEP 2 · Go to DOCUMENT CHECKLIST. For each item, set Status to Done / Missing / N/A and add notes.</t>
  </si>
  <si>
    <t>STEP 3 · Review READINESS SCORE and ACTION PLAN. Focus on high-priority missing items first.</t>
  </si>
  <si>
    <t>WHAT IS OFFICIAL vs PLANNING GUIDANCE vs USER INPUT</t>
  </si>
  <si>
    <t>• Official requirements: ICA PR document checklist (identity, employment, income, family, tax, education).</t>
  </si>
  <si>
    <t>• Planning guidance: common supporting documents applicants typically prepare (cover letter, testimonials, etc.).</t>
  </si>
  <si>
    <t>• User input: your Profile details, Status selections, and Notes — entirely controlled by you.</t>
  </si>
  <si>
    <t>LIMITATIONS &amp; DISCLAIMER</t>
  </si>
  <si>
    <t>This tool is for document organisation and readiness tracking only. It does NOT predict or guarantee PR approval. ICA assessment criteria are not public; always verify latest requirements on the ICA website before submission.</t>
  </si>
  <si>
    <t>Yellow = editable input  ·  Green = auto-calculated  ·  Do not type into green cells.</t>
  </si>
  <si>
    <t>STEP 1 · YOUR PROFILE</t>
  </si>
  <si>
    <t>Fill in the yellow cells. This sheet is for your reference and does not drive calculations.</t>
  </si>
  <si>
    <t>PERSONAL DETAILS</t>
  </si>
  <si>
    <t>Full name (as in passport)</t>
  </si>
  <si>
    <t/>
  </si>
  <si>
    <t>Date of birth</t>
  </si>
  <si>
    <t>Nationality</t>
  </si>
  <si>
    <t>Current FIN / NRIC (if any)</t>
  </si>
  <si>
    <t>Marital status</t>
  </si>
  <si>
    <t>Spouse name (if married)</t>
  </si>
  <si>
    <t>Spouse nationality</t>
  </si>
  <si>
    <t>Children (names, DOB, nationality)</t>
  </si>
  <si>
    <t>SINGAPORE HISTORY</t>
  </si>
  <si>
    <t>Date of first entry to Singapore</t>
  </si>
  <si>
    <t>Total years in Singapore (continuous)</t>
  </si>
  <si>
    <t>Current pass type (EP / S Pass / WP / DP / LTVP / PR / Citizen)</t>
  </si>
  <si>
    <t>Previous pass types held</t>
  </si>
  <si>
    <t>Any previous PR application?</t>
  </si>
  <si>
    <t>No</t>
  </si>
  <si>
    <t>If yes, year and outcome</t>
  </si>
  <si>
    <t>EMPLOYMENT &amp; INCOME</t>
  </si>
  <si>
    <t>Current employer</t>
  </si>
  <si>
    <t>Occupation / Job title</t>
  </si>
  <si>
    <t>Industry</t>
  </si>
  <si>
    <t>Monthly basic salary (S$)</t>
  </si>
  <si>
    <t>Monthly variable/bonus (S$)</t>
  </si>
  <si>
    <t>Annual bonus (months)</t>
  </si>
  <si>
    <t>CPF contribution (monthly, S$)</t>
  </si>
  <si>
    <t>Years with current employer</t>
  </si>
  <si>
    <t>Previous employer (if &lt; 2 years current)</t>
  </si>
  <si>
    <t>EDUCATION</t>
  </si>
  <si>
    <t>Highest qualification</t>
  </si>
  <si>
    <t>Institution</t>
  </si>
  <si>
    <t>Country of institution</t>
  </si>
  <si>
    <t>Year of graduation</t>
  </si>
  <si>
    <t>Professional certifications / memberships</t>
  </si>
  <si>
    <t>STEP 2 · DOCUMENT CHECKLIST</t>
  </si>
  <si>
    <t>For each item, set Status (Done / Missing / N/A) in column F. Add notes in column G. Yellow = editable.</t>
  </si>
  <si>
    <t>#</t>
  </si>
  <si>
    <t>Document / Item</t>
  </si>
  <si>
    <t>Category</t>
  </si>
  <si>
    <t>Required?</t>
  </si>
  <si>
    <t>Status</t>
  </si>
  <si>
    <t>Notes</t>
  </si>
  <si>
    <t>Valid passport (bio-data page)</t>
  </si>
  <si>
    <t>Identity &amp; Civil</t>
  </si>
  <si>
    <t>Yes</t>
  </si>
  <si>
    <t>Birth certificate</t>
  </si>
  <si>
    <t>Marriage certificate (if married)</t>
  </si>
  <si>
    <t>Divorce decree / death cert of spouse (if applicable)</t>
  </si>
  <si>
    <t>Children's birth certificates</t>
  </si>
  <si>
    <t>Spouse's passport (if married)</t>
  </si>
  <si>
    <t>National ID card (home country)</t>
  </si>
  <si>
    <t>Change of name deed poll (if applicable)</t>
  </si>
  <si>
    <t>Current pass (EP / S Pass / WP / DP / LTVP) copy</t>
  </si>
  <si>
    <t>Immigration &amp; Pass</t>
  </si>
  <si>
    <t>Previous pass copies (if any)</t>
  </si>
  <si>
    <t>Entry permit / approval letters</t>
  </si>
  <si>
    <t>Travel history (ICA e-service printout)</t>
  </si>
  <si>
    <t>Employment letter (company letterhead, role, salary, start date)</t>
  </si>
  <si>
    <t>Employment</t>
  </si>
  <si>
    <t>Latest 6 months payslips</t>
  </si>
  <si>
    <t>Latest 3 years IR8A / tax assessments (IRAS)</t>
  </si>
  <si>
    <t>CPF contribution history (CPF Board printout)</t>
  </si>
  <si>
    <t>Employment contract</t>
  </si>
  <si>
    <t>Company ACRA business profile</t>
  </si>
  <si>
    <t>Professional licence / registration (if applicable)</t>
  </si>
  <si>
    <t>Testimonial / reference letter from employer</t>
  </si>
  <si>
    <t>Bank statements (latest 6–12 months)</t>
  </si>
  <si>
    <t>Income &amp; Financial</t>
  </si>
  <si>
    <t>CPF statement (latest)</t>
  </si>
  <si>
    <t>Income tax Notice of Assessment (latest 3 years)</t>
  </si>
  <si>
    <t>Property ownership documents (if any)</t>
  </si>
  <si>
    <t>Investment / savings statements</t>
  </si>
  <si>
    <t>Outstanding loans / liabilities declaration</t>
  </si>
  <si>
    <t>Degree / diploma certificates</t>
  </si>
  <si>
    <t>Education</t>
  </si>
  <si>
    <t>Academic transcripts</t>
  </si>
  <si>
    <t>Professional certification proofs</t>
  </si>
  <si>
    <t>SkillsFuture / WSQ certificates (if any)</t>
  </si>
  <si>
    <t>Spouse's employment letter &amp; payslips</t>
  </si>
  <si>
    <t>Family</t>
  </si>
  <si>
    <t>Spouse's CPF &amp; tax documents</t>
  </si>
  <si>
    <t>Children's school enrolment letters</t>
  </si>
  <si>
    <t>Children's immunisation records</t>
  </si>
  <si>
    <t>Parents' PR / Citizenship status proof (if in SG)</t>
  </si>
  <si>
    <t>Cover letter / personal statement</t>
  </si>
  <si>
    <t>Supporting</t>
  </si>
  <si>
    <t>Testimonials from Singaporeans / PRs (2–3)</t>
  </si>
  <si>
    <t>Community involvement / volunteer records</t>
  </si>
  <si>
    <t>Property rental agreement (if renting)</t>
  </si>
  <si>
    <t>Any other relevant documents</t>
  </si>
  <si>
    <t>READINESS SCORE</t>
  </si>
  <si>
    <t>Auto-calculates from DOCUMENT CHECKLIST. Green = calculated. Do not edit.</t>
  </si>
  <si>
    <t>SUMMARY</t>
  </si>
  <si>
    <t>Total required items</t>
  </si>
  <si>
    <t>Completed (Done)</t>
  </si>
  <si>
    <t>Missing</t>
  </si>
  <si>
    <t>Marked N/A</t>
  </si>
  <si>
    <t>READINESS % (Done ÷ Required)</t>
  </si>
  <si>
    <t>STATUS INDICATOR</t>
  </si>
  <si>
    <t>Overall status</t>
  </si>
  <si>
    <t>BREAKDOWN BY CATEGORY</t>
  </si>
  <si>
    <t>Required</t>
  </si>
  <si>
    <t>Done</t>
  </si>
  <si>
    <t>N/A</t>
  </si>
  <si>
    <t>% Done</t>
  </si>
  <si>
    <t>Note: Only "Required = Yes" items count toward the readiness score.</t>
  </si>
  <si>
    <t>Optional items (Required = No) are for tracking only.</t>
  </si>
  <si>
    <t>ACTION PLAN — MISSING ITEMS PRIORITISED</t>
  </si>
  <si>
    <t>Auto-generates from DOCUMENT CHECKLIST where Status = Missing and Required = Yes.</t>
  </si>
  <si>
    <t>Missing Document / Item</t>
  </si>
  <si>
    <t>Recommended Action</t>
  </si>
  <si>
    <t>Priority</t>
  </si>
  <si>
    <t>Target Date</t>
  </si>
  <si>
    <t>PRIORITY COUNTS</t>
  </si>
  <si>
    <t>High priority missing</t>
  </si>
  <si>
    <t>Medium priority missing</t>
  </si>
  <si>
    <t>Low priority missing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</si>
</sst>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&quot;S$&quot;#,##0"/>
    <numFmt numFmtId="165" formatCode="0.0%"/>
  </numFmts>
  <fonts count="16" x14ac:knownFonts="1">
    <font>
      <color theme="1"/>
      <family val="2"/>
      <scheme val="minor"/>
      <sz val="11"/>
      <name val="Calibri"/>
    </font>
    <font>
      <b/>
      <color rgb="1F2937"/>
      <sz val="18"/>
      <name val="Calibri"/>
    </font>
    <font>
      <i/>
      <color rgb="6B7280"/>
      <sz val="11"/>
      <name val="Calibri"/>
    </font>
    <font>
      <b/>
      <color rgb="1F2937"/>
      <sz val="11"/>
      <name val="Calibri"/>
    </font>
    <font>
      <color rgb="1F2937"/>
      <sz val="11"/>
      <name val="Calibri"/>
    </font>
    <font>
      <i/>
      <color rgb="92400E"/>
      <sz val="10"/>
      <name val="Calibri"/>
    </font>
    <font>
      <i/>
      <color rgb="6B7280"/>
      <sz val="9"/>
      <name val="Calibri"/>
    </font>
    <font>
      <b/>
      <color rgb="FFFFFF"/>
      <sz val="12"/>
      <name val="Calibri"/>
    </font>
    <font>
      <b/>
      <color rgb="92400E"/>
      <sz val="11"/>
      <name val="Calibri"/>
    </font>
    <font>
      <b/>
      <color rgb="1F2937"/>
      <sz val="10"/>
      <name val="Calibri"/>
    </font>
    <font>
      <b/>
      <color rgb="065F46"/>
      <sz val="11"/>
      <name val="Calibri"/>
    </font>
    <font>
      <b/>
      <color rgb="065F46"/>
      <sz val="16"/>
      <name val="Calibri"/>
    </font>
    <font>
      <b/>
      <color rgb="065F46"/>
      <sz val="10"/>
      <name val="Calibri"/>
    </font>
    <font>
      <b/>
      <color rgb="7F1D1D"/>
      <sz val="11"/>
      <name val="Calibri"/>
    </font>
    <font>
      <b/>
      <color rgb="92400E"/>
      <sz val="10"/>
      <name val="Calibri"/>
    </font>
    <font>
      <b/>
      <color rgb="7F1D1D"/>
      <sz val="10"/>
      <name val="Calibri"/>
    </font>
  </fonts>
  <fills count="9">
    <fill>
      <patternFill patternType="none"/>
    </fill>
    <fill>
      <patternFill patternType="gray125"/>
    </fill>
    <fill>
      <patternFill patternType="solid">
        <fgColor rgb="E0E7F1"/>
      </patternFill>
    </fill>
    <fill>
      <patternFill patternType="solid">
        <fgColor rgb="2563EB"/>
      </patternFill>
    </fill>
    <fill>
      <patternFill patternType="solid">
        <fgColor rgb="FEF3C7"/>
      </patternFill>
    </fill>
    <fill>
      <patternFill patternType="solid">
        <fgColor rgb="E5E7EB"/>
      </patternFill>
    </fill>
    <fill>
      <patternFill patternType="solid">
        <fgColor rgb="D1FAE5"/>
      </patternFill>
    </fill>
    <fill>
      <patternFill patternType="solid">
        <fgColor rgb="A7F3D0"/>
      </patternFill>
    </fill>
    <fill>
      <patternFill patternType="solid">
        <fgColor rgb="FEE2E2"/>
      </patternFill>
    </fill>
  </fills>
  <borders count="3">
    <border>
      <left/>
      <right/>
      <top/>
      <bottom/>
      <diagonal/>
    </border>
    <border>
      <left style="thin">
        <color rgb="D97706"/>
      </left>
      <right style="thin">
        <color rgb="D97706"/>
      </right>
      <top style="thin">
        <color rgb="D97706"/>
      </top>
      <bottom style="thin">
        <color rgb="D97706"/>
      </bottom>
      <diagonal/>
    </border>
    <border>
      <left/>
      <right/>
      <top style="thin">
        <color rgb="9CA3AF"/>
      </top>
      <bottom style="thin">
        <color rgb="9CA3AF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0" xfId="0" applyFont="1" applyFill="1" applyAlignment="1">
      <alignment vertical="center"/>
    </xf>
    <xf numFmtId="0" fontId="4" fillId="0" borderId="0" xfId="0" applyFont="1" applyAlignment="1">
      <alignment vertical="center" wrapText="1"/>
    </xf>
    <xf numFmtId="0" fontId="5" fillId="0" borderId="0" xfId="0" applyFont="1" applyAlignment="1">
      <alignment vertical="top" wrapText="1"/>
    </xf>
    <xf numFmtId="0" fontId="6" fillId="0" borderId="0" xfId="0" applyFont="1" applyAlignment="1">
      <alignment vertical="top" wrapText="1"/>
    </xf>
    <xf numFmtId="0" fontId="7" fillId="3" borderId="0" xfId="0" applyFont="1" applyFill="1" applyAlignment="1">
      <alignment vertical="center" wrapText="1"/>
    </xf>
    <xf numFmtId="0" fontId="3" fillId="0" borderId="0" xfId="0" applyFont="1" applyAlignment="1">
      <alignment vertical="center" wrapText="1"/>
    </xf>
    <xf numFmtId="0" fontId="8" fillId="4" borderId="1" xfId="0" applyFont="1" applyFill="1" applyBorder="1" applyAlignment="1">
      <alignment horizontal="left" vertical="center"/>
    </xf>
    <xf numFmtId="164" fontId="8" fillId="4" borderId="1" xfId="0" applyNumberFormat="1" applyFont="1" applyFill="1" applyBorder="1" applyAlignment="1">
      <alignment horizontal="right" vertical="center"/>
    </xf>
    <xf numFmtId="0" fontId="9" fillId="5" borderId="2" xfId="0" applyFont="1" applyFill="1" applyBorder="1" applyAlignment="1">
      <alignment vertical="center" wrapText="1"/>
    </xf>
    <xf numFmtId="0" fontId="10" fillId="6" borderId="0" xfId="0" applyFont="1" applyFill="1" applyAlignment="1">
      <alignment horizontal="center" vertical="center"/>
    </xf>
    <xf numFmtId="0" fontId="8" fillId="4" borderId="1" xfId="0" applyFont="1" applyFill="1" applyBorder="1" applyAlignment="1">
      <alignment horizontal="center" vertical="center"/>
    </xf>
    <xf numFmtId="0" fontId="11" fillId="7" borderId="0" xfId="0" applyFont="1" applyFill="1" applyAlignment="1">
      <alignment horizontal="right" vertical="center"/>
    </xf>
    <xf numFmtId="0" fontId="12" fillId="6" borderId="0" xfId="0" applyFont="1" applyFill="1" applyAlignment="1">
      <alignment horizontal="center"/>
    </xf>
    <xf numFmtId="0" fontId="13" fillId="8" borderId="0" xfId="0" applyFont="1" applyFill="1" applyAlignment="1">
      <alignment horizontal="center"/>
    </xf>
    <xf numFmtId="0" fontId="14" fillId="4" borderId="0" xfId="0" applyFont="1" applyFill="1" applyAlignment="1">
      <alignment horizontal="center"/>
    </xf>
    <xf numFmtId="165" fontId="11" fillId="7" borderId="0" xfId="0" applyNumberFormat="1" applyFont="1" applyFill="1" applyAlignment="1">
      <alignment horizontal="right" vertical="center"/>
    </xf>
    <xf numFmtId="0" fontId="10" fillId="6" borderId="0" xfId="0" applyFont="1" applyFill="1" applyAlignment="1">
      <alignment horizontal="left" vertical="center" wrapText="1"/>
    </xf>
    <xf numFmtId="0" fontId="10" fillId="6" borderId="0" xfId="0" applyFont="1" applyFill="1" applyAlignment="1">
      <alignment horizontal="right" vertical="center"/>
    </xf>
    <xf numFmtId="165" fontId="10" fillId="6" borderId="0" xfId="0" applyNumberFormat="1" applyFont="1" applyFill="1" applyAlignment="1">
      <alignment horizontal="right" vertical="center"/>
    </xf>
    <xf numFmtId="0" fontId="8" fillId="4" borderId="1" xfId="0" applyFont="1" applyFill="1" applyBorder="1" applyAlignment="1">
      <alignment horizontal="right" vertical="center"/>
    </xf>
    <xf numFmtId="0" fontId="15" fillId="8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B24"/>
  <sheetFormatPr defaultRowHeight="15" outlineLevelRow="0" outlineLevelCol="0" x14ac:dyDescent="55"/>
  <cols>
    <col min="2" max="2" width="28" customWidth="1"/>
    <col min="3" max="3" width="110" customWidth="1"/>
  </cols>
  <sheetData>
    <row r="2" spans="2:2" x14ac:dyDescent="0.25">
      <c r="B2" s="1" t="s">
        <v>0</v>
      </c>
    </row>
    <row r="3" spans="2:2" x14ac:dyDescent="0.25">
      <c r="B3" s="2" t="s">
        <v>1</v>
      </c>
    </row>
    <row r="5" spans="2:2" x14ac:dyDescent="0.25">
      <c r="B5" s="3" t="s">
        <v>2</v>
      </c>
    </row>
    <row r="6" spans="2:2" x14ac:dyDescent="0.25">
      <c r="B6" s="4" t="s">
        <v>3</v>
      </c>
    </row>
    <row r="7" spans="2:2" x14ac:dyDescent="0.25">
      <c r="B7" s="4" t="s">
        <v>4</v>
      </c>
    </row>
    <row r="8" spans="2:2" x14ac:dyDescent="0.25">
      <c r="B8" s="4" t="s">
        <v>5</v>
      </c>
    </row>
    <row r="9" spans="2:2" x14ac:dyDescent="0.25">
      <c r="B9" s="4" t="s">
        <v>6</v>
      </c>
    </row>
    <row r="11" spans="2:2" x14ac:dyDescent="0.25">
      <c r="B11" s="3" t="s">
        <v>7</v>
      </c>
    </row>
    <row r="12" spans="2:2" x14ac:dyDescent="0.25">
      <c r="B12" s="4" t="s">
        <v>8</v>
      </c>
    </row>
    <row r="13" spans="2:2" x14ac:dyDescent="0.25">
      <c r="B13" s="4" t="s">
        <v>9</v>
      </c>
    </row>
    <row r="14" spans="2:2" x14ac:dyDescent="0.25">
      <c r="B14" s="4" t="s">
        <v>10</v>
      </c>
    </row>
    <row r="16" spans="2:2" x14ac:dyDescent="0.25">
      <c r="B16" s="3" t="s">
        <v>11</v>
      </c>
    </row>
    <row r="17" spans="2:2" x14ac:dyDescent="0.25">
      <c r="B17" s="4" t="s">
        <v>12</v>
      </c>
    </row>
    <row r="18" spans="2:2" x14ac:dyDescent="0.25">
      <c r="B18" s="4" t="s">
        <v>13</v>
      </c>
    </row>
    <row r="19" spans="2:2" x14ac:dyDescent="0.25">
      <c r="B19" s="4" t="s">
        <v>14</v>
      </c>
    </row>
    <row r="21" spans="2:2" x14ac:dyDescent="0.25">
      <c r="B21" s="3" t="s">
        <v>15</v>
      </c>
    </row>
    <row r="22" spans="2:2" x14ac:dyDescent="0.25">
      <c r="B22" s="5" t="s">
        <v>16</v>
      </c>
    </row>
    <row r="24" spans="2:2" x14ac:dyDescent="0.25">
      <c r="B24" s="6" t="s">
        <v>17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C39"/>
  <sheetFormatPr defaultRowHeight="15" outlineLevelRow="0" outlineLevelCol="0" x14ac:dyDescent="55"/>
  <cols>
    <col min="2" max="2" width="42" customWidth="1"/>
    <col min="3" max="3" width="44" customWidth="1"/>
  </cols>
  <sheetData>
    <row r="2" spans="2:2" x14ac:dyDescent="0.25">
      <c r="B2" s="1" t="s">
        <v>18</v>
      </c>
    </row>
    <row r="3" spans="2:2" x14ac:dyDescent="0.25">
      <c r="B3" s="2" t="s">
        <v>19</v>
      </c>
    </row>
    <row r="5" spans="2:2" x14ac:dyDescent="0.25">
      <c r="B5" s="7" t="s">
        <v>20</v>
      </c>
    </row>
    <row r="6" spans="2:3" x14ac:dyDescent="0.25">
      <c r="B6" s="8" t="s">
        <v>21</v>
      </c>
      <c r="C6" s="9" t="s">
        <v>22</v>
      </c>
    </row>
    <row r="7" spans="2:3" x14ac:dyDescent="0.25">
      <c r="B7" s="8" t="s">
        <v>23</v>
      </c>
      <c r="C7" s="9" t="s">
        <v>22</v>
      </c>
    </row>
    <row r="8" spans="2:3" x14ac:dyDescent="0.25">
      <c r="B8" s="8" t="s">
        <v>24</v>
      </c>
      <c r="C8" s="9" t="s">
        <v>22</v>
      </c>
    </row>
    <row r="9" spans="2:3" x14ac:dyDescent="0.25">
      <c r="B9" s="8" t="s">
        <v>25</v>
      </c>
      <c r="C9" s="9" t="s">
        <v>22</v>
      </c>
    </row>
    <row r="10" spans="2:3" x14ac:dyDescent="0.25">
      <c r="B10" s="8" t="s">
        <v>26</v>
      </c>
      <c r="C10" s="9" t="s">
        <v>22</v>
      </c>
    </row>
    <row r="11" spans="2:3" x14ac:dyDescent="0.25">
      <c r="B11" s="8" t="s">
        <v>27</v>
      </c>
      <c r="C11" s="9" t="s">
        <v>22</v>
      </c>
    </row>
    <row r="12" spans="2:3" x14ac:dyDescent="0.25">
      <c r="B12" s="8" t="s">
        <v>28</v>
      </c>
      <c r="C12" s="9" t="s">
        <v>22</v>
      </c>
    </row>
    <row r="13" spans="2:3" x14ac:dyDescent="0.25">
      <c r="B13" s="8" t="s">
        <v>29</v>
      </c>
      <c r="C13" s="9" t="s">
        <v>22</v>
      </c>
    </row>
    <row r="15" spans="2:2" x14ac:dyDescent="0.25">
      <c r="B15" s="7" t="s">
        <v>30</v>
      </c>
    </row>
    <row r="16" spans="2:3" x14ac:dyDescent="0.25">
      <c r="B16" s="8" t="s">
        <v>31</v>
      </c>
      <c r="C16" s="9" t="s">
        <v>22</v>
      </c>
    </row>
    <row r="17" spans="2:3" x14ac:dyDescent="0.25">
      <c r="B17" s="8" t="s">
        <v>32</v>
      </c>
      <c r="C17" s="9">
        <v>0</v>
      </c>
    </row>
    <row r="18" spans="2:3" x14ac:dyDescent="0.25">
      <c r="B18" s="8" t="s">
        <v>33</v>
      </c>
      <c r="C18" s="9" t="s">
        <v>22</v>
      </c>
    </row>
    <row r="19" spans="2:3" x14ac:dyDescent="0.25">
      <c r="B19" s="8" t="s">
        <v>34</v>
      </c>
      <c r="C19" s="9" t="s">
        <v>22</v>
      </c>
    </row>
    <row r="20" spans="2:3" x14ac:dyDescent="0.25">
      <c r="B20" s="8" t="s">
        <v>35</v>
      </c>
      <c r="C20" s="9" t="s">
        <v>36</v>
      </c>
    </row>
    <row r="21" spans="2:3" x14ac:dyDescent="0.25">
      <c r="B21" s="8" t="s">
        <v>37</v>
      </c>
      <c r="C21" s="9" t="s">
        <v>22</v>
      </c>
    </row>
    <row r="23" spans="2:2" x14ac:dyDescent="0.25">
      <c r="B23" s="7" t="s">
        <v>38</v>
      </c>
    </row>
    <row r="24" spans="2:3" x14ac:dyDescent="0.25">
      <c r="B24" s="8" t="s">
        <v>39</v>
      </c>
      <c r="C24" s="9" t="s">
        <v>22</v>
      </c>
    </row>
    <row r="25" spans="2:3" x14ac:dyDescent="0.25">
      <c r="B25" s="8" t="s">
        <v>40</v>
      </c>
      <c r="C25" s="9" t="s">
        <v>22</v>
      </c>
    </row>
    <row r="26" spans="2:3" x14ac:dyDescent="0.25">
      <c r="B26" s="8" t="s">
        <v>41</v>
      </c>
      <c r="C26" s="9" t="s">
        <v>22</v>
      </c>
    </row>
    <row r="27" spans="2:3" x14ac:dyDescent="0.25">
      <c r="B27" s="8" t="s">
        <v>42</v>
      </c>
      <c r="C27" s="10">
        <v>0</v>
      </c>
    </row>
    <row r="28" spans="2:3" x14ac:dyDescent="0.25">
      <c r="B28" s="8" t="s">
        <v>43</v>
      </c>
      <c r="C28" s="10">
        <v>0</v>
      </c>
    </row>
    <row r="29" spans="2:3" x14ac:dyDescent="0.25">
      <c r="B29" s="8" t="s">
        <v>44</v>
      </c>
      <c r="C29" s="10">
        <v>0</v>
      </c>
    </row>
    <row r="30" spans="2:3" x14ac:dyDescent="0.25">
      <c r="B30" s="8" t="s">
        <v>45</v>
      </c>
      <c r="C30" s="10">
        <v>0</v>
      </c>
    </row>
    <row r="31" spans="2:3" x14ac:dyDescent="0.25">
      <c r="B31" s="8" t="s">
        <v>46</v>
      </c>
      <c r="C31" s="10">
        <v>0</v>
      </c>
    </row>
    <row r="32" spans="2:3" x14ac:dyDescent="0.25">
      <c r="B32" s="8" t="s">
        <v>47</v>
      </c>
      <c r="C32" s="9" t="s">
        <v>22</v>
      </c>
    </row>
    <row r="34" spans="2:2" x14ac:dyDescent="0.25">
      <c r="B34" s="7" t="s">
        <v>48</v>
      </c>
    </row>
    <row r="35" spans="2:3" x14ac:dyDescent="0.25">
      <c r="B35" s="8" t="s">
        <v>49</v>
      </c>
      <c r="C35" s="9" t="s">
        <v>22</v>
      </c>
    </row>
    <row r="36" spans="2:3" x14ac:dyDescent="0.25">
      <c r="B36" s="8" t="s">
        <v>50</v>
      </c>
      <c r="C36" s="9" t="s">
        <v>22</v>
      </c>
    </row>
    <row r="37" spans="2:3" x14ac:dyDescent="0.25">
      <c r="B37" s="8" t="s">
        <v>51</v>
      </c>
      <c r="C37" s="9" t="s">
        <v>22</v>
      </c>
    </row>
    <row r="38" spans="2:3" x14ac:dyDescent="0.25">
      <c r="B38" s="8" t="s">
        <v>52</v>
      </c>
      <c r="C38" s="9" t="s">
        <v>22</v>
      </c>
    </row>
    <row r="39" spans="2:3" x14ac:dyDescent="0.25">
      <c r="B39" s="8" t="s">
        <v>53</v>
      </c>
      <c r="C39" s="9" t="s">
        <v>22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G45"/>
  <sheetFormatPr defaultRowHeight="15" outlineLevelRow="0" outlineLevelCol="0" x14ac:dyDescent="55"/>
  <cols>
    <col min="2" max="2" width="5" customWidth="1"/>
    <col min="3" max="3" width="52" customWidth="1"/>
    <col min="4" max="4" width="22" customWidth="1"/>
    <col min="5" max="5" width="10" customWidth="1"/>
    <col min="6" max="6" width="12" customWidth="1"/>
    <col min="7" max="7" width="50" customWidth="1"/>
  </cols>
  <sheetData>
    <row r="2" spans="2:2" x14ac:dyDescent="0.25">
      <c r="B2" s="1" t="s">
        <v>54</v>
      </c>
    </row>
    <row r="3" spans="2:2" x14ac:dyDescent="0.25">
      <c r="B3" s="2" t="s">
        <v>55</v>
      </c>
    </row>
    <row r="5" spans="2:7" x14ac:dyDescent="0.25">
      <c r="B5" s="11" t="s">
        <v>56</v>
      </c>
      <c r="C5" s="11" t="s">
        <v>57</v>
      </c>
      <c r="D5" s="11" t="s">
        <v>58</v>
      </c>
      <c r="E5" s="11" t="s">
        <v>59</v>
      </c>
      <c r="F5" s="11" t="s">
        <v>60</v>
      </c>
      <c r="G5" s="11" t="s">
        <v>61</v>
      </c>
    </row>
    <row r="6" spans="2:7" x14ac:dyDescent="0.25">
      <c r="B6" s="4">
        <v>1</v>
      </c>
      <c r="C6" s="4" t="s">
        <v>62</v>
      </c>
      <c r="D6" s="4" t="s">
        <v>63</v>
      </c>
      <c r="E6" s="12" t="s">
        <v>64</v>
      </c>
      <c r="F6" s="13" t="s">
        <v>22</v>
      </c>
      <c r="G6" s="9" t="s">
        <v>22</v>
      </c>
    </row>
    <row r="7" spans="2:7" x14ac:dyDescent="0.25">
      <c r="B7" s="4">
        <v>2</v>
      </c>
      <c r="C7" s="4" t="s">
        <v>65</v>
      </c>
      <c r="D7" s="4" t="s">
        <v>63</v>
      </c>
      <c r="E7" s="12" t="s">
        <v>64</v>
      </c>
      <c r="F7" s="13" t="s">
        <v>22</v>
      </c>
      <c r="G7" s="9" t="s">
        <v>22</v>
      </c>
    </row>
    <row r="8" spans="2:7" x14ac:dyDescent="0.25">
      <c r="B8" s="4">
        <v>3</v>
      </c>
      <c r="C8" s="4" t="s">
        <v>66</v>
      </c>
      <c r="D8" s="4" t="s">
        <v>63</v>
      </c>
      <c r="E8" s="12" t="s">
        <v>36</v>
      </c>
      <c r="F8" s="13" t="s">
        <v>22</v>
      </c>
      <c r="G8" s="9" t="s">
        <v>22</v>
      </c>
    </row>
    <row r="9" spans="2:7" x14ac:dyDescent="0.25">
      <c r="B9" s="4">
        <v>4</v>
      </c>
      <c r="C9" s="4" t="s">
        <v>67</v>
      </c>
      <c r="D9" s="4" t="s">
        <v>63</v>
      </c>
      <c r="E9" s="12" t="s">
        <v>36</v>
      </c>
      <c r="F9" s="13" t="s">
        <v>22</v>
      </c>
      <c r="G9" s="9" t="s">
        <v>22</v>
      </c>
    </row>
    <row r="10" spans="2:7" x14ac:dyDescent="0.25">
      <c r="B10" s="4">
        <v>5</v>
      </c>
      <c r="C10" s="4" t="s">
        <v>68</v>
      </c>
      <c r="D10" s="4" t="s">
        <v>63</v>
      </c>
      <c r="E10" s="12" t="s">
        <v>36</v>
      </c>
      <c r="F10" s="13" t="s">
        <v>22</v>
      </c>
      <c r="G10" s="9" t="s">
        <v>22</v>
      </c>
    </row>
    <row r="11" spans="2:7" x14ac:dyDescent="0.25">
      <c r="B11" s="4">
        <v>6</v>
      </c>
      <c r="C11" s="4" t="s">
        <v>69</v>
      </c>
      <c r="D11" s="4" t="s">
        <v>63</v>
      </c>
      <c r="E11" s="12" t="s">
        <v>36</v>
      </c>
      <c r="F11" s="13" t="s">
        <v>22</v>
      </c>
      <c r="G11" s="9" t="s">
        <v>22</v>
      </c>
    </row>
    <row r="12" spans="2:7" x14ac:dyDescent="0.25">
      <c r="B12" s="4">
        <v>7</v>
      </c>
      <c r="C12" s="4" t="s">
        <v>70</v>
      </c>
      <c r="D12" s="4" t="s">
        <v>63</v>
      </c>
      <c r="E12" s="12" t="s">
        <v>36</v>
      </c>
      <c r="F12" s="13" t="s">
        <v>22</v>
      </c>
      <c r="G12" s="9" t="s">
        <v>22</v>
      </c>
    </row>
    <row r="13" spans="2:7" x14ac:dyDescent="0.25">
      <c r="B13" s="4">
        <v>8</v>
      </c>
      <c r="C13" s="4" t="s">
        <v>71</v>
      </c>
      <c r="D13" s="4" t="s">
        <v>63</v>
      </c>
      <c r="E13" s="12" t="s">
        <v>36</v>
      </c>
      <c r="F13" s="13" t="s">
        <v>22</v>
      </c>
      <c r="G13" s="9" t="s">
        <v>22</v>
      </c>
    </row>
    <row r="14" spans="2:7" x14ac:dyDescent="0.25">
      <c r="B14" s="4">
        <v>9</v>
      </c>
      <c r="C14" s="4" t="s">
        <v>72</v>
      </c>
      <c r="D14" s="4" t="s">
        <v>73</v>
      </c>
      <c r="E14" s="12" t="s">
        <v>64</v>
      </c>
      <c r="F14" s="13" t="s">
        <v>22</v>
      </c>
      <c r="G14" s="9" t="s">
        <v>22</v>
      </c>
    </row>
    <row r="15" spans="2:7" x14ac:dyDescent="0.25">
      <c r="B15" s="4">
        <v>10</v>
      </c>
      <c r="C15" s="4" t="s">
        <v>74</v>
      </c>
      <c r="D15" s="4" t="s">
        <v>73</v>
      </c>
      <c r="E15" s="12" t="s">
        <v>36</v>
      </c>
      <c r="F15" s="13" t="s">
        <v>22</v>
      </c>
      <c r="G15" s="9" t="s">
        <v>22</v>
      </c>
    </row>
    <row r="16" spans="2:7" x14ac:dyDescent="0.25">
      <c r="B16" s="4">
        <v>11</v>
      </c>
      <c r="C16" s="4" t="s">
        <v>75</v>
      </c>
      <c r="D16" s="4" t="s">
        <v>73</v>
      </c>
      <c r="E16" s="12" t="s">
        <v>36</v>
      </c>
      <c r="F16" s="13" t="s">
        <v>22</v>
      </c>
      <c r="G16" s="9" t="s">
        <v>22</v>
      </c>
    </row>
    <row r="17" spans="2:7" x14ac:dyDescent="0.25">
      <c r="B17" s="4">
        <v>12</v>
      </c>
      <c r="C17" s="4" t="s">
        <v>76</v>
      </c>
      <c r="D17" s="4" t="s">
        <v>73</v>
      </c>
      <c r="E17" s="12" t="s">
        <v>36</v>
      </c>
      <c r="F17" s="13" t="s">
        <v>22</v>
      </c>
      <c r="G17" s="9" t="s">
        <v>22</v>
      </c>
    </row>
    <row r="18" spans="2:7" x14ac:dyDescent="0.25">
      <c r="B18" s="4">
        <v>13</v>
      </c>
      <c r="C18" s="4" t="s">
        <v>77</v>
      </c>
      <c r="D18" s="4" t="s">
        <v>78</v>
      </c>
      <c r="E18" s="12" t="s">
        <v>64</v>
      </c>
      <c r="F18" s="13" t="s">
        <v>22</v>
      </c>
      <c r="G18" s="9" t="s">
        <v>22</v>
      </c>
    </row>
    <row r="19" spans="2:7" x14ac:dyDescent="0.25">
      <c r="B19" s="4">
        <v>14</v>
      </c>
      <c r="C19" s="4" t="s">
        <v>79</v>
      </c>
      <c r="D19" s="4" t="s">
        <v>78</v>
      </c>
      <c r="E19" s="12" t="s">
        <v>64</v>
      </c>
      <c r="F19" s="13" t="s">
        <v>22</v>
      </c>
      <c r="G19" s="9" t="s">
        <v>22</v>
      </c>
    </row>
    <row r="20" spans="2:7" x14ac:dyDescent="0.25">
      <c r="B20" s="4">
        <v>15</v>
      </c>
      <c r="C20" s="4" t="s">
        <v>80</v>
      </c>
      <c r="D20" s="4" t="s">
        <v>78</v>
      </c>
      <c r="E20" s="12" t="s">
        <v>64</v>
      </c>
      <c r="F20" s="13" t="s">
        <v>22</v>
      </c>
      <c r="G20" s="9" t="s">
        <v>22</v>
      </c>
    </row>
    <row r="21" spans="2:7" x14ac:dyDescent="0.25">
      <c r="B21" s="4">
        <v>16</v>
      </c>
      <c r="C21" s="4" t="s">
        <v>81</v>
      </c>
      <c r="D21" s="4" t="s">
        <v>78</v>
      </c>
      <c r="E21" s="12" t="s">
        <v>64</v>
      </c>
      <c r="F21" s="13" t="s">
        <v>22</v>
      </c>
      <c r="G21" s="9" t="s">
        <v>22</v>
      </c>
    </row>
    <row r="22" spans="2:7" x14ac:dyDescent="0.25">
      <c r="B22" s="4">
        <v>17</v>
      </c>
      <c r="C22" s="4" t="s">
        <v>82</v>
      </c>
      <c r="D22" s="4" t="s">
        <v>78</v>
      </c>
      <c r="E22" s="12" t="s">
        <v>36</v>
      </c>
      <c r="F22" s="13" t="s">
        <v>22</v>
      </c>
      <c r="G22" s="9" t="s">
        <v>22</v>
      </c>
    </row>
    <row r="23" spans="2:7" x14ac:dyDescent="0.25">
      <c r="B23" s="4">
        <v>18</v>
      </c>
      <c r="C23" s="4" t="s">
        <v>83</v>
      </c>
      <c r="D23" s="4" t="s">
        <v>78</v>
      </c>
      <c r="E23" s="12" t="s">
        <v>36</v>
      </c>
      <c r="F23" s="13" t="s">
        <v>22</v>
      </c>
      <c r="G23" s="9" t="s">
        <v>22</v>
      </c>
    </row>
    <row r="24" spans="2:7" x14ac:dyDescent="0.25">
      <c r="B24" s="4">
        <v>19</v>
      </c>
      <c r="C24" s="4" t="s">
        <v>84</v>
      </c>
      <c r="D24" s="4" t="s">
        <v>78</v>
      </c>
      <c r="E24" s="12" t="s">
        <v>36</v>
      </c>
      <c r="F24" s="13" t="s">
        <v>22</v>
      </c>
      <c r="G24" s="9" t="s">
        <v>22</v>
      </c>
    </row>
    <row r="25" spans="2:7" x14ac:dyDescent="0.25">
      <c r="B25" s="4">
        <v>20</v>
      </c>
      <c r="C25" s="4" t="s">
        <v>85</v>
      </c>
      <c r="D25" s="4" t="s">
        <v>78</v>
      </c>
      <c r="E25" s="12" t="s">
        <v>36</v>
      </c>
      <c r="F25" s="13" t="s">
        <v>22</v>
      </c>
      <c r="G25" s="9" t="s">
        <v>22</v>
      </c>
    </row>
    <row r="26" spans="2:7" x14ac:dyDescent="0.25">
      <c r="B26" s="4">
        <v>21</v>
      </c>
      <c r="C26" s="4" t="s">
        <v>86</v>
      </c>
      <c r="D26" s="4" t="s">
        <v>87</v>
      </c>
      <c r="E26" s="12" t="s">
        <v>36</v>
      </c>
      <c r="F26" s="13" t="s">
        <v>22</v>
      </c>
      <c r="G26" s="9" t="s">
        <v>22</v>
      </c>
    </row>
    <row r="27" spans="2:7" x14ac:dyDescent="0.25">
      <c r="B27" s="4">
        <v>22</v>
      </c>
      <c r="C27" s="4" t="s">
        <v>88</v>
      </c>
      <c r="D27" s="4" t="s">
        <v>87</v>
      </c>
      <c r="E27" s="12" t="s">
        <v>64</v>
      </c>
      <c r="F27" s="13" t="s">
        <v>22</v>
      </c>
      <c r="G27" s="9" t="s">
        <v>22</v>
      </c>
    </row>
    <row r="28" spans="2:7" x14ac:dyDescent="0.25">
      <c r="B28" s="4">
        <v>23</v>
      </c>
      <c r="C28" s="4" t="s">
        <v>89</v>
      </c>
      <c r="D28" s="4" t="s">
        <v>87</v>
      </c>
      <c r="E28" s="12" t="s">
        <v>64</v>
      </c>
      <c r="F28" s="13" t="s">
        <v>22</v>
      </c>
      <c r="G28" s="9" t="s">
        <v>22</v>
      </c>
    </row>
    <row r="29" spans="2:7" x14ac:dyDescent="0.25">
      <c r="B29" s="4">
        <v>24</v>
      </c>
      <c r="C29" s="4" t="s">
        <v>90</v>
      </c>
      <c r="D29" s="4" t="s">
        <v>87</v>
      </c>
      <c r="E29" s="12" t="s">
        <v>36</v>
      </c>
      <c r="F29" s="13" t="s">
        <v>22</v>
      </c>
      <c r="G29" s="9" t="s">
        <v>22</v>
      </c>
    </row>
    <row r="30" spans="2:7" x14ac:dyDescent="0.25">
      <c r="B30" s="4">
        <v>25</v>
      </c>
      <c r="C30" s="4" t="s">
        <v>91</v>
      </c>
      <c r="D30" s="4" t="s">
        <v>87</v>
      </c>
      <c r="E30" s="12" t="s">
        <v>36</v>
      </c>
      <c r="F30" s="13" t="s">
        <v>22</v>
      </c>
      <c r="G30" s="9" t="s">
        <v>22</v>
      </c>
    </row>
    <row r="31" spans="2:7" x14ac:dyDescent="0.25">
      <c r="B31" s="4">
        <v>26</v>
      </c>
      <c r="C31" s="4" t="s">
        <v>92</v>
      </c>
      <c r="D31" s="4" t="s">
        <v>87</v>
      </c>
      <c r="E31" s="12" t="s">
        <v>36</v>
      </c>
      <c r="F31" s="13" t="s">
        <v>22</v>
      </c>
      <c r="G31" s="9" t="s">
        <v>22</v>
      </c>
    </row>
    <row r="32" spans="2:7" x14ac:dyDescent="0.25">
      <c r="B32" s="4">
        <v>27</v>
      </c>
      <c r="C32" s="4" t="s">
        <v>93</v>
      </c>
      <c r="D32" s="4" t="s">
        <v>94</v>
      </c>
      <c r="E32" s="12" t="s">
        <v>64</v>
      </c>
      <c r="F32" s="13" t="s">
        <v>22</v>
      </c>
      <c r="G32" s="9" t="s">
        <v>22</v>
      </c>
    </row>
    <row r="33" spans="2:7" x14ac:dyDescent="0.25">
      <c r="B33" s="4">
        <v>28</v>
      </c>
      <c r="C33" s="4" t="s">
        <v>95</v>
      </c>
      <c r="D33" s="4" t="s">
        <v>94</v>
      </c>
      <c r="E33" s="12" t="s">
        <v>36</v>
      </c>
      <c r="F33" s="13" t="s">
        <v>22</v>
      </c>
      <c r="G33" s="9" t="s">
        <v>22</v>
      </c>
    </row>
    <row r="34" spans="2:7" x14ac:dyDescent="0.25">
      <c r="B34" s="4">
        <v>29</v>
      </c>
      <c r="C34" s="4" t="s">
        <v>96</v>
      </c>
      <c r="D34" s="4" t="s">
        <v>94</v>
      </c>
      <c r="E34" s="12" t="s">
        <v>36</v>
      </c>
      <c r="F34" s="13" t="s">
        <v>22</v>
      </c>
      <c r="G34" s="9" t="s">
        <v>22</v>
      </c>
    </row>
    <row r="35" spans="2:7" x14ac:dyDescent="0.25">
      <c r="B35" s="4">
        <v>30</v>
      </c>
      <c r="C35" s="4" t="s">
        <v>97</v>
      </c>
      <c r="D35" s="4" t="s">
        <v>94</v>
      </c>
      <c r="E35" s="12" t="s">
        <v>36</v>
      </c>
      <c r="F35" s="13" t="s">
        <v>22</v>
      </c>
      <c r="G35" s="9" t="s">
        <v>22</v>
      </c>
    </row>
    <row r="36" spans="2:7" x14ac:dyDescent="0.25">
      <c r="B36" s="4">
        <v>31</v>
      </c>
      <c r="C36" s="4" t="s">
        <v>98</v>
      </c>
      <c r="D36" s="4" t="s">
        <v>99</v>
      </c>
      <c r="E36" s="12" t="s">
        <v>36</v>
      </c>
      <c r="F36" s="13" t="s">
        <v>22</v>
      </c>
      <c r="G36" s="9" t="s">
        <v>22</v>
      </c>
    </row>
    <row r="37" spans="2:7" x14ac:dyDescent="0.25">
      <c r="B37" s="4">
        <v>32</v>
      </c>
      <c r="C37" s="4" t="s">
        <v>100</v>
      </c>
      <c r="D37" s="4" t="s">
        <v>99</v>
      </c>
      <c r="E37" s="12" t="s">
        <v>36</v>
      </c>
      <c r="F37" s="13" t="s">
        <v>22</v>
      </c>
      <c r="G37" s="9" t="s">
        <v>22</v>
      </c>
    </row>
    <row r="38" spans="2:7" x14ac:dyDescent="0.25">
      <c r="B38" s="4">
        <v>33</v>
      </c>
      <c r="C38" s="4" t="s">
        <v>101</v>
      </c>
      <c r="D38" s="4" t="s">
        <v>99</v>
      </c>
      <c r="E38" s="12" t="s">
        <v>36</v>
      </c>
      <c r="F38" s="13" t="s">
        <v>22</v>
      </c>
      <c r="G38" s="9" t="s">
        <v>22</v>
      </c>
    </row>
    <row r="39" spans="2:7" x14ac:dyDescent="0.25">
      <c r="B39" s="4">
        <v>34</v>
      </c>
      <c r="C39" s="4" t="s">
        <v>102</v>
      </c>
      <c r="D39" s="4" t="s">
        <v>99</v>
      </c>
      <c r="E39" s="12" t="s">
        <v>36</v>
      </c>
      <c r="F39" s="13" t="s">
        <v>22</v>
      </c>
      <c r="G39" s="9" t="s">
        <v>22</v>
      </c>
    </row>
    <row r="40" spans="2:7" x14ac:dyDescent="0.25">
      <c r="B40" s="4">
        <v>35</v>
      </c>
      <c r="C40" s="4" t="s">
        <v>103</v>
      </c>
      <c r="D40" s="4" t="s">
        <v>99</v>
      </c>
      <c r="E40" s="12" t="s">
        <v>36</v>
      </c>
      <c r="F40" s="13" t="s">
        <v>22</v>
      </c>
      <c r="G40" s="9" t="s">
        <v>22</v>
      </c>
    </row>
    <row r="41" spans="2:7" x14ac:dyDescent="0.25">
      <c r="B41" s="4">
        <v>36</v>
      </c>
      <c r="C41" s="4" t="s">
        <v>104</v>
      </c>
      <c r="D41" s="4" t="s">
        <v>105</v>
      </c>
      <c r="E41" s="12" t="s">
        <v>36</v>
      </c>
      <c r="F41" s="13" t="s">
        <v>22</v>
      </c>
      <c r="G41" s="9" t="s">
        <v>22</v>
      </c>
    </row>
    <row r="42" spans="2:7" x14ac:dyDescent="0.25">
      <c r="B42" s="4">
        <v>37</v>
      </c>
      <c r="C42" s="4" t="s">
        <v>106</v>
      </c>
      <c r="D42" s="4" t="s">
        <v>105</v>
      </c>
      <c r="E42" s="12" t="s">
        <v>36</v>
      </c>
      <c r="F42" s="13" t="s">
        <v>22</v>
      </c>
      <c r="G42" s="9" t="s">
        <v>22</v>
      </c>
    </row>
    <row r="43" spans="2:7" x14ac:dyDescent="0.25">
      <c r="B43" s="4">
        <v>38</v>
      </c>
      <c r="C43" s="4" t="s">
        <v>107</v>
      </c>
      <c r="D43" s="4" t="s">
        <v>105</v>
      </c>
      <c r="E43" s="12" t="s">
        <v>36</v>
      </c>
      <c r="F43" s="13" t="s">
        <v>22</v>
      </c>
      <c r="G43" s="9" t="s">
        <v>22</v>
      </c>
    </row>
    <row r="44" spans="2:7" x14ac:dyDescent="0.25">
      <c r="B44" s="4">
        <v>39</v>
      </c>
      <c r="C44" s="4" t="s">
        <v>108</v>
      </c>
      <c r="D44" s="4" t="s">
        <v>105</v>
      </c>
      <c r="E44" s="12" t="s">
        <v>36</v>
      </c>
      <c r="F44" s="13" t="s">
        <v>22</v>
      </c>
      <c r="G44" s="9" t="s">
        <v>22</v>
      </c>
    </row>
    <row r="45" spans="2:7" x14ac:dyDescent="0.25">
      <c r="B45" s="4">
        <v>40</v>
      </c>
      <c r="C45" s="4" t="s">
        <v>109</v>
      </c>
      <c r="D45" s="4" t="s">
        <v>105</v>
      </c>
      <c r="E45" s="12" t="s">
        <v>36</v>
      </c>
      <c r="F45" s="13" t="s">
        <v>22</v>
      </c>
      <c r="G45" s="9" t="s">
        <v>22</v>
      </c>
    </row>
  </sheetData>
  <dataValidations count="2">
    <dataValidation type="list" allowBlank="1" showErrorMessage="1" errorTitle="Invalid Required" sqref="E6:E45">
      <formula1>"Yes,No"</formula1>
    </dataValidation>
    <dataValidation type="list" allowBlank="1" showErrorMessage="1" errorTitle="Invalid Status" sqref="F6:F45">
      <formula1>"Done,Missing,N/A"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G27"/>
  <sheetFormatPr defaultRowHeight="15" outlineLevelRow="0" outlineLevelCol="0" x14ac:dyDescent="55"/>
  <cols>
    <col min="2" max="2" width="24" customWidth="1"/>
    <col min="3" max="3" width="14" customWidth="1"/>
    <col min="4" max="4" width="10" customWidth="1"/>
    <col min="5" max="5" width="12" customWidth="1"/>
    <col min="6" max="6" width="8" customWidth="1"/>
    <col min="7" max="7" width="12" customWidth="1"/>
    <col min="8" max="8" width="50" customWidth="1"/>
  </cols>
  <sheetData>
    <row r="2" spans="2:2" x14ac:dyDescent="0.25">
      <c r="B2" s="1" t="s">
        <v>110</v>
      </c>
    </row>
    <row r="3" spans="2:2" x14ac:dyDescent="0.25">
      <c r="B3" s="2" t="s">
        <v>111</v>
      </c>
    </row>
    <row r="5" spans="2:2" x14ac:dyDescent="0.25">
      <c r="B5" s="7" t="s">
        <v>112</v>
      </c>
    </row>
    <row r="6" spans="2:3" x14ac:dyDescent="0.25">
      <c r="B6" s="8" t="s">
        <v>113</v>
      </c>
      <c r="C6" s="14">
        <f>COUNTIF('DOCUMENT CHECKLIST'!E6:E45,"Yes")</f>
        <v>0</v>
      </c>
    </row>
    <row r="7" spans="2:3" x14ac:dyDescent="0.25">
      <c r="B7" s="4" t="s">
        <v>114</v>
      </c>
      <c r="C7" s="15">
        <f>COUNTIFS('DOCUMENT CHECKLIST'!E6:E45,"Yes",'DOCUMENT CHECKLIST'!F6:F45,"Done")</f>
        <v>0</v>
      </c>
    </row>
    <row r="8" spans="2:3" x14ac:dyDescent="0.25">
      <c r="B8" s="4" t="s">
        <v>115</v>
      </c>
      <c r="C8" s="16">
        <f>COUNTIFS('DOCUMENT CHECKLIST'!E6:E45,"Yes",'DOCUMENT CHECKLIST'!F6:F45,"Missing")</f>
        <v>0</v>
      </c>
    </row>
    <row r="9" spans="2:3" x14ac:dyDescent="0.25">
      <c r="B9" s="4" t="s">
        <v>116</v>
      </c>
      <c r="C9" s="17">
        <f>COUNTIFS('DOCUMENT CHECKLIST'!E6:E45,"Yes",'DOCUMENT CHECKLIST'!F6:F45,"N/A")</f>
        <v>0</v>
      </c>
    </row>
    <row r="11" spans="2:3" x14ac:dyDescent="0.25">
      <c r="B11" s="8" t="s">
        <v>117</v>
      </c>
      <c r="C11" s="18">
        <f>IF(COUNTIF('DOCUMENT CHECKLIST'!E6:E45,"Yes")=0,0,COUNTIFS('DOCUMENT CHECKLIST'!E6:E45,"Yes",'DOCUMENT CHECKLIST'!F6:F45,"Done")/COUNTIF('DOCUMENT CHECKLIST'!E6:E45,"Yes"))</f>
        <v>0</v>
      </c>
    </row>
    <row r="13" spans="2:2" x14ac:dyDescent="0.25">
      <c r="B13" s="7" t="s">
        <v>118</v>
      </c>
    </row>
    <row r="14" spans="2:3" x14ac:dyDescent="0.25">
      <c r="B14" s="8" t="s">
        <v>119</v>
      </c>
      <c r="C14" s="19">
        <f>IF(IF(COUNTIF('DOCUMENT CHECKLIST'!E6:E45,"Yes")=0,0,COUNTIFS('DOCUMENT CHECKLIST'!E6:E45,"Yes",'DOCUMENT CHECKLIST'!F6:F45,"Done")/COUNTIF('DOCUMENT CHECKLIST'!E6:E45,"Yes"))=1,"Ready for review",IF(IF(COUNTIF('DOCUMENT CHECKLIST'!E6:E45,"Yes")=0,0,COUNTIFS('DOCUMENT CHECKLIST'!E6:E45,"Yes",'DOCUMENT CHECKLIST'!F6:F45,"Done")/COUNTIF('DOCUMENT CHECKLIST'!E6:E45,"Yes"))&gt;=0.7,"Needs attention","Not ready"))</f>
        <v>0</v>
      </c>
    </row>
    <row r="16" spans="2:2" x14ac:dyDescent="0.25">
      <c r="B16" s="7" t="s">
        <v>120</v>
      </c>
    </row>
    <row r="17" spans="2:7" x14ac:dyDescent="0.25">
      <c r="B17" s="11" t="s">
        <v>58</v>
      </c>
      <c r="C17" s="11" t="s">
        <v>121</v>
      </c>
      <c r="D17" s="11" t="s">
        <v>122</v>
      </c>
      <c r="E17" s="11" t="s">
        <v>115</v>
      </c>
      <c r="F17" s="11" t="s">
        <v>123</v>
      </c>
      <c r="G17" s="11" t="s">
        <v>124</v>
      </c>
    </row>
    <row r="18" spans="2:7" x14ac:dyDescent="0.25">
      <c r="B18" s="4" t="s">
        <v>63</v>
      </c>
      <c r="C18" s="20">
        <f>COUNTIFS('DOCUMENT CHECKLIST'!D6:D45,"Identity &amp; Civil",'DOCUMENT CHECKLIST'!E6:E45,"Yes")</f>
        <v>0</v>
      </c>
      <c r="D18" s="15">
        <f>COUNTIFS('DOCUMENT CHECKLIST'!D6:D45,"Identity &amp; Civil",'DOCUMENT CHECKLIST'!E6:E45,"Yes",'DOCUMENT CHECKLIST'!F6:F45,"Done")</f>
        <v>0</v>
      </c>
      <c r="E18" s="16">
        <f>COUNTIFS('DOCUMENT CHECKLIST'!D6:D45,"Identity &amp; Civil",'DOCUMENT CHECKLIST'!E6:E45,"Yes",'DOCUMENT CHECKLIST'!F6:F45,"Missing")</f>
        <v>0</v>
      </c>
      <c r="F18" s="17">
        <f>COUNTIFS('DOCUMENT CHECKLIST'!D6:D45,"Identity &amp; Civil",'DOCUMENT CHECKLIST'!E6:E45,"Yes",'DOCUMENT CHECKLIST'!F6:F45,"N/A")</f>
        <v>0</v>
      </c>
      <c r="G18" s="21">
        <f>IF(COUNTIFS('DOCUMENT CHECKLIST'!D6:D45,"Identity &amp; Civil",'DOCUMENT CHECKLIST'!E6:E45,"Yes")=0,0,COUNTIFS('DOCUMENT CHECKLIST'!D6:D45,"Identity &amp; Civil",'DOCUMENT CHECKLIST'!E6:E45,"Yes",'DOCUMENT CHECKLIST'!F6:F45,"Done")/COUNTIFS('DOCUMENT CHECKLIST'!D6:D45,"Identity &amp; Civil",'DOCUMENT CHECKLIST'!E6:E45,"Yes"))</f>
        <v>0</v>
      </c>
    </row>
    <row r="19" spans="2:7" x14ac:dyDescent="0.25">
      <c r="B19" s="4" t="s">
        <v>73</v>
      </c>
      <c r="C19" s="20">
        <f>COUNTIFS('DOCUMENT CHECKLIST'!D6:D45,"Immigration &amp; Pass",'DOCUMENT CHECKLIST'!E6:E45,"Yes")</f>
        <v>0</v>
      </c>
      <c r="D19" s="15">
        <f>COUNTIFS('DOCUMENT CHECKLIST'!D6:D45,"Immigration &amp; Pass",'DOCUMENT CHECKLIST'!E6:E45,"Yes",'DOCUMENT CHECKLIST'!F6:F45,"Done")</f>
        <v>0</v>
      </c>
      <c r="E19" s="16">
        <f>COUNTIFS('DOCUMENT CHECKLIST'!D6:D45,"Immigration &amp; Pass",'DOCUMENT CHECKLIST'!E6:E45,"Yes",'DOCUMENT CHECKLIST'!F6:F45,"Missing")</f>
        <v>0</v>
      </c>
      <c r="F19" s="17">
        <f>COUNTIFS('DOCUMENT CHECKLIST'!D6:D45,"Immigration &amp; Pass",'DOCUMENT CHECKLIST'!E6:E45,"Yes",'DOCUMENT CHECKLIST'!F6:F45,"N/A")</f>
        <v>0</v>
      </c>
      <c r="G19" s="21">
        <f>IF(COUNTIFS('DOCUMENT CHECKLIST'!D6:D45,"Immigration &amp; Pass",'DOCUMENT CHECKLIST'!E6:E45,"Yes")=0,0,COUNTIFS('DOCUMENT CHECKLIST'!D6:D45,"Immigration &amp; Pass",'DOCUMENT CHECKLIST'!E6:E45,"Yes",'DOCUMENT CHECKLIST'!F6:F45,"Done")/COUNTIFS('DOCUMENT CHECKLIST'!D6:D45,"Immigration &amp; Pass",'DOCUMENT CHECKLIST'!E6:E45,"Yes"))</f>
        <v>0</v>
      </c>
    </row>
    <row r="20" spans="2:7" x14ac:dyDescent="0.25">
      <c r="B20" s="4" t="s">
        <v>78</v>
      </c>
      <c r="C20" s="20">
        <f>COUNTIFS('DOCUMENT CHECKLIST'!D6:D45,"Employment",'DOCUMENT CHECKLIST'!E6:E45,"Yes")</f>
        <v>0</v>
      </c>
      <c r="D20" s="15">
        <f>COUNTIFS('DOCUMENT CHECKLIST'!D6:D45,"Employment",'DOCUMENT CHECKLIST'!E6:E45,"Yes",'DOCUMENT CHECKLIST'!F6:F45,"Done")</f>
        <v>0</v>
      </c>
      <c r="E20" s="16">
        <f>COUNTIFS('DOCUMENT CHECKLIST'!D6:D45,"Employment",'DOCUMENT CHECKLIST'!E6:E45,"Yes",'DOCUMENT CHECKLIST'!F6:F45,"Missing")</f>
        <v>0</v>
      </c>
      <c r="F20" s="17">
        <f>COUNTIFS('DOCUMENT CHECKLIST'!D6:D45,"Employment",'DOCUMENT CHECKLIST'!E6:E45,"Yes",'DOCUMENT CHECKLIST'!F6:F45,"N/A")</f>
        <v>0</v>
      </c>
      <c r="G20" s="21">
        <f>IF(COUNTIFS('DOCUMENT CHECKLIST'!D6:D45,"Employment",'DOCUMENT CHECKLIST'!E6:E45,"Yes")=0,0,COUNTIFS('DOCUMENT CHECKLIST'!D6:D45,"Employment",'DOCUMENT CHECKLIST'!E6:E45,"Yes",'DOCUMENT CHECKLIST'!F6:F45,"Done")/COUNTIFS('DOCUMENT CHECKLIST'!D6:D45,"Employment",'DOCUMENT CHECKLIST'!E6:E45,"Yes"))</f>
        <v>0</v>
      </c>
    </row>
    <row r="21" spans="2:7" x14ac:dyDescent="0.25">
      <c r="B21" s="4" t="s">
        <v>87</v>
      </c>
      <c r="C21" s="20">
        <f>COUNTIFS('DOCUMENT CHECKLIST'!D6:D45,"Income &amp; Financial",'DOCUMENT CHECKLIST'!E6:E45,"Yes")</f>
        <v>0</v>
      </c>
      <c r="D21" s="15">
        <f>COUNTIFS('DOCUMENT CHECKLIST'!D6:D45,"Income &amp; Financial",'DOCUMENT CHECKLIST'!E6:E45,"Yes",'DOCUMENT CHECKLIST'!F6:F45,"Done")</f>
        <v>0</v>
      </c>
      <c r="E21" s="16">
        <f>COUNTIFS('DOCUMENT CHECKLIST'!D6:D45,"Income &amp; Financial",'DOCUMENT CHECKLIST'!E6:E45,"Yes",'DOCUMENT CHECKLIST'!F6:F45,"Missing")</f>
        <v>0</v>
      </c>
      <c r="F21" s="17">
        <f>COUNTIFS('DOCUMENT CHECKLIST'!D6:D45,"Income &amp; Financial",'DOCUMENT CHECKLIST'!E6:E45,"Yes",'DOCUMENT CHECKLIST'!F6:F45,"N/A")</f>
        <v>0</v>
      </c>
      <c r="G21" s="21">
        <f>IF(COUNTIFS('DOCUMENT CHECKLIST'!D6:D45,"Income &amp; Financial",'DOCUMENT CHECKLIST'!E6:E45,"Yes")=0,0,COUNTIFS('DOCUMENT CHECKLIST'!D6:D45,"Income &amp; Financial",'DOCUMENT CHECKLIST'!E6:E45,"Yes",'DOCUMENT CHECKLIST'!F6:F45,"Done")/COUNTIFS('DOCUMENT CHECKLIST'!D6:D45,"Income &amp; Financial",'DOCUMENT CHECKLIST'!E6:E45,"Yes"))</f>
        <v>0</v>
      </c>
    </row>
    <row r="22" spans="2:7" x14ac:dyDescent="0.25">
      <c r="B22" s="4" t="s">
        <v>94</v>
      </c>
      <c r="C22" s="20">
        <f>COUNTIFS('DOCUMENT CHECKLIST'!D6:D45,"Education",'DOCUMENT CHECKLIST'!E6:E45,"Yes")</f>
        <v>0</v>
      </c>
      <c r="D22" s="15">
        <f>COUNTIFS('DOCUMENT CHECKLIST'!D6:D45,"Education",'DOCUMENT CHECKLIST'!E6:E45,"Yes",'DOCUMENT CHECKLIST'!F6:F45,"Done")</f>
        <v>0</v>
      </c>
      <c r="E22" s="16">
        <f>COUNTIFS('DOCUMENT CHECKLIST'!D6:D45,"Education",'DOCUMENT CHECKLIST'!E6:E45,"Yes",'DOCUMENT CHECKLIST'!F6:F45,"Missing")</f>
        <v>0</v>
      </c>
      <c r="F22" s="17">
        <f>COUNTIFS('DOCUMENT CHECKLIST'!D6:D45,"Education",'DOCUMENT CHECKLIST'!E6:E45,"Yes",'DOCUMENT CHECKLIST'!F6:F45,"N/A")</f>
        <v>0</v>
      </c>
      <c r="G22" s="21">
        <f>IF(COUNTIFS('DOCUMENT CHECKLIST'!D6:D45,"Education",'DOCUMENT CHECKLIST'!E6:E45,"Yes")=0,0,COUNTIFS('DOCUMENT CHECKLIST'!D6:D45,"Education",'DOCUMENT CHECKLIST'!E6:E45,"Yes",'DOCUMENT CHECKLIST'!F6:F45,"Done")/COUNTIFS('DOCUMENT CHECKLIST'!D6:D45,"Education",'DOCUMENT CHECKLIST'!E6:E45,"Yes"))</f>
        <v>0</v>
      </c>
    </row>
    <row r="23" spans="2:7" x14ac:dyDescent="0.25">
      <c r="B23" s="4" t="s">
        <v>99</v>
      </c>
      <c r="C23" s="20">
        <f>COUNTIFS('DOCUMENT CHECKLIST'!D6:D45,"Family",'DOCUMENT CHECKLIST'!E6:E45,"Yes")</f>
        <v>0</v>
      </c>
      <c r="D23" s="15">
        <f>COUNTIFS('DOCUMENT CHECKLIST'!D6:D45,"Family",'DOCUMENT CHECKLIST'!E6:E45,"Yes",'DOCUMENT CHECKLIST'!F6:F45,"Done")</f>
        <v>0</v>
      </c>
      <c r="E23" s="16">
        <f>COUNTIFS('DOCUMENT CHECKLIST'!D6:D45,"Family",'DOCUMENT CHECKLIST'!E6:E45,"Yes",'DOCUMENT CHECKLIST'!F6:F45,"Missing")</f>
        <v>0</v>
      </c>
      <c r="F23" s="17">
        <f>COUNTIFS('DOCUMENT CHECKLIST'!D6:D45,"Family",'DOCUMENT CHECKLIST'!E6:E45,"Yes",'DOCUMENT CHECKLIST'!F6:F45,"N/A")</f>
        <v>0</v>
      </c>
      <c r="G23" s="21">
        <f>IF(COUNTIFS('DOCUMENT CHECKLIST'!D6:D45,"Family",'DOCUMENT CHECKLIST'!E6:E45,"Yes")=0,0,COUNTIFS('DOCUMENT CHECKLIST'!D6:D45,"Family",'DOCUMENT CHECKLIST'!E6:E45,"Yes",'DOCUMENT CHECKLIST'!F6:F45,"Done")/COUNTIFS('DOCUMENT CHECKLIST'!D6:D45,"Family",'DOCUMENT CHECKLIST'!E6:E45,"Yes"))</f>
        <v>0</v>
      </c>
    </row>
    <row r="24" spans="2:7" x14ac:dyDescent="0.25">
      <c r="B24" s="4" t="s">
        <v>105</v>
      </c>
      <c r="C24" s="20">
        <f>COUNTIFS('DOCUMENT CHECKLIST'!D6:D45,"Supporting",'DOCUMENT CHECKLIST'!E6:E45,"Yes")</f>
        <v>0</v>
      </c>
      <c r="D24" s="15">
        <f>COUNTIFS('DOCUMENT CHECKLIST'!D6:D45,"Supporting",'DOCUMENT CHECKLIST'!E6:E45,"Yes",'DOCUMENT CHECKLIST'!F6:F45,"Done")</f>
        <v>0</v>
      </c>
      <c r="E24" s="16">
        <f>COUNTIFS('DOCUMENT CHECKLIST'!D6:D45,"Supporting",'DOCUMENT CHECKLIST'!E6:E45,"Yes",'DOCUMENT CHECKLIST'!F6:F45,"Missing")</f>
        <v>0</v>
      </c>
      <c r="F24" s="17">
        <f>COUNTIFS('DOCUMENT CHECKLIST'!D6:D45,"Supporting",'DOCUMENT CHECKLIST'!E6:E45,"Yes",'DOCUMENT CHECKLIST'!F6:F45,"N/A")</f>
        <v>0</v>
      </c>
      <c r="G24" s="21">
        <f>IF(COUNTIFS('DOCUMENT CHECKLIST'!D6:D45,"Supporting",'DOCUMENT CHECKLIST'!E6:E45,"Yes")=0,0,COUNTIFS('DOCUMENT CHECKLIST'!D6:D45,"Supporting",'DOCUMENT CHECKLIST'!E6:E45,"Yes",'DOCUMENT CHECKLIST'!F6:F45,"Done")/COUNTIFS('DOCUMENT CHECKLIST'!D6:D45,"Supporting",'DOCUMENT CHECKLIST'!E6:E45,"Yes"))</f>
        <v>0</v>
      </c>
    </row>
    <row r="26" spans="2:2" x14ac:dyDescent="0.25">
      <c r="B26" s="6" t="s">
        <v>125</v>
      </c>
    </row>
    <row r="27" spans="2:2" x14ac:dyDescent="0.25">
      <c r="B27" s="6" t="s">
        <v>126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H61"/>
  <sheetFormatPr defaultRowHeight="15" outlineLevelRow="0" outlineLevelCol="0" x14ac:dyDescent="55"/>
  <cols>
    <col min="2" max="2" width="5" customWidth="1"/>
    <col min="3" max="3" width="48" customWidth="1"/>
    <col min="4" max="4" width="22" customWidth="1"/>
    <col min="5" max="5" width="50" customWidth="1"/>
    <col min="6" max="6" width="12" customWidth="1"/>
    <col min="7" max="7" width="14" customWidth="1"/>
    <col min="8" max="8" width="40" customWidth="1"/>
  </cols>
  <sheetData>
    <row r="2" spans="2:2" x14ac:dyDescent="0.25">
      <c r="B2" s="1" t="s">
        <v>127</v>
      </c>
    </row>
    <row r="3" spans="2:2" x14ac:dyDescent="0.25">
      <c r="B3" s="2" t="s">
        <v>128</v>
      </c>
    </row>
    <row r="5" spans="2:8" x14ac:dyDescent="0.25">
      <c r="B5" s="11" t="s">
        <v>56</v>
      </c>
      <c r="C5" s="11" t="s">
        <v>129</v>
      </c>
      <c r="D5" s="11" t="s">
        <v>58</v>
      </c>
      <c r="E5" s="11" t="s">
        <v>130</v>
      </c>
      <c r="F5" s="11" t="s">
        <v>131</v>
      </c>
      <c r="G5" s="11" t="s">
        <v>132</v>
      </c>
      <c r="H5" s="11" t="s">
        <v>61</v>
      </c>
    </row>
    <row r="6" spans="2:8" x14ac:dyDescent="0.25">
      <c r="B6" s="4">
        <v>1</v>
      </c>
      <c r="C6" s="19">
        <f>IF(AND('DOCUMENT CHECKLIST'!E6="Yes",'DOCUMENT CHECKLIST'!F6="Missing"),'DOCUMENT CHECKLIST'!C6,"")</f>
        <v>0</v>
      </c>
      <c r="D6" s="19">
        <f>IF(AND('DOCUMENT CHECKLIST'!E6="Yes",'DOCUMENT CHECKLIST'!F6="Missing"),'DOCUMENT CHECKLIST'!D6,"")</f>
        <v>0</v>
      </c>
      <c r="E6" s="19">
        <f>IF(AND('DOCUMENT CHECKLIST'!E6="Yes",'DOCUMENT CHECKLIST'!F6="Missing"),CHOOSE(MATCH('DOCUMENT CHECKLIST'!D6,{"Identity &amp; Civil","Immigration &amp; Pass","Employment","Income &amp; Financial","Education","Family","Supporting"},0),"Obtain from ICA/home country authority","Request from employer/HR/ICA portal","Request from employer/HR","Download from IRAS/CPF/Bank portals","Obtain from institution","Coordinate with family members","Prepare at your discretion"),"")</f>
        <v>0</v>
      </c>
      <c r="F6" s="12">
        <f>IF(AND('DOCUMENT CHECKLIST'!E6="Yes",'DOCUMENT CHECKLIST'!F6="Missing"),VLOOKUP('DOCUMENT CHECKLIST'!D6,{"Identity &amp; Civil","High";"Immigration &amp; Pass","High";"Employment","High";"Income &amp; Financial","High";"Education","Medium";"Family","Medium";"Supporting","Low"},2,FALSE),"")</f>
        <v>0</v>
      </c>
      <c r="G6" s="22" t="s">
        <v>22</v>
      </c>
      <c r="H6" s="9" t="s">
        <v>22</v>
      </c>
    </row>
    <row r="7" spans="2:8" x14ac:dyDescent="0.25">
      <c r="B7" s="4">
        <v>2</v>
      </c>
      <c r="C7" s="19">
        <f>IF(AND('DOCUMENT CHECKLIST'!E7="Yes",'DOCUMENT CHECKLIST'!F7="Missing"),'DOCUMENT CHECKLIST'!C7,"")</f>
        <v>0</v>
      </c>
      <c r="D7" s="19">
        <f>IF(AND('DOCUMENT CHECKLIST'!E7="Yes",'DOCUMENT CHECKLIST'!F7="Missing"),'DOCUMENT CHECKLIST'!D7,"")</f>
        <v>0</v>
      </c>
      <c r="E7" s="19">
        <f>IF(AND('DOCUMENT CHECKLIST'!E7="Yes",'DOCUMENT CHECKLIST'!F7="Missing"),CHOOSE(MATCH('DOCUMENT CHECKLIST'!D7,{"Identity &amp; Civil","Immigration &amp; Pass","Employment","Income &amp; Financial","Education","Family","Supporting"},0),"Obtain from ICA/home country authority","Request from employer/HR/ICA portal","Request from employer/HR","Download from IRAS/CPF/Bank portals","Obtain from institution","Coordinate with family members","Prepare at your discretion"),"")</f>
        <v>0</v>
      </c>
      <c r="F7" s="12">
        <f>IF(AND('DOCUMENT CHECKLIST'!E7="Yes",'DOCUMENT CHECKLIST'!F7="Missing"),VLOOKUP('DOCUMENT CHECKLIST'!D7,{"Identity &amp; Civil","High";"Immigration &amp; Pass","High";"Employment","High";"Income &amp; Financial","High";"Education","Medium";"Family","Medium";"Supporting","Low"},2,FALSE),"")</f>
        <v>0</v>
      </c>
      <c r="G7" s="22" t="s">
        <v>22</v>
      </c>
      <c r="H7" s="9" t="s">
        <v>22</v>
      </c>
    </row>
    <row r="8" spans="2:8" x14ac:dyDescent="0.25">
      <c r="B8" s="4">
        <v>3</v>
      </c>
      <c r="C8" s="19">
        <f>IF(AND('DOCUMENT CHECKLIST'!E8="Yes",'DOCUMENT CHECKLIST'!F8="Missing"),'DOCUMENT CHECKLIST'!C8,"")</f>
        <v>0</v>
      </c>
      <c r="D8" s="19">
        <f>IF(AND('DOCUMENT CHECKLIST'!E8="Yes",'DOCUMENT CHECKLIST'!F8="Missing"),'DOCUMENT CHECKLIST'!D8,"")</f>
        <v>0</v>
      </c>
      <c r="E8" s="19">
        <f>IF(AND('DOCUMENT CHECKLIST'!E8="Yes",'DOCUMENT CHECKLIST'!F8="Missing"),CHOOSE(MATCH('DOCUMENT CHECKLIST'!D8,{"Identity &amp; Civil","Immigration &amp; Pass","Employment","Income &amp; Financial","Education","Family","Supporting"},0),"Obtain from ICA/home country authority","Request from employer/HR/ICA portal","Request from employer/HR","Download from IRAS/CPF/Bank portals","Obtain from institution","Coordinate with family members","Prepare at your discretion"),"")</f>
        <v>0</v>
      </c>
      <c r="F8" s="12">
        <f>IF(AND('DOCUMENT CHECKLIST'!E8="Yes",'DOCUMENT CHECKLIST'!F8="Missing"),VLOOKUP('DOCUMENT CHECKLIST'!D8,{"Identity &amp; Civil","High";"Immigration &amp; Pass","High";"Employment","High";"Income &amp; Financial","High";"Education","Medium";"Family","Medium";"Supporting","Low"},2,FALSE),"")</f>
        <v>0</v>
      </c>
      <c r="G8" s="22" t="s">
        <v>22</v>
      </c>
      <c r="H8" s="9" t="s">
        <v>22</v>
      </c>
    </row>
    <row r="9" spans="2:8" x14ac:dyDescent="0.25">
      <c r="B9" s="4">
        <v>4</v>
      </c>
      <c r="C9" s="19">
        <f>IF(AND('DOCUMENT CHECKLIST'!E9="Yes",'DOCUMENT CHECKLIST'!F9="Missing"),'DOCUMENT CHECKLIST'!C9,"")</f>
        <v>0</v>
      </c>
      <c r="D9" s="19">
        <f>IF(AND('DOCUMENT CHECKLIST'!E9="Yes",'DOCUMENT CHECKLIST'!F9="Missing"),'DOCUMENT CHECKLIST'!D9,"")</f>
        <v>0</v>
      </c>
      <c r="E9" s="19">
        <f>IF(AND('DOCUMENT CHECKLIST'!E9="Yes",'DOCUMENT CHECKLIST'!F9="Missing"),CHOOSE(MATCH('DOCUMENT CHECKLIST'!D9,{"Identity &amp; Civil","Immigration &amp; Pass","Employment","Income &amp; Financial","Education","Family","Supporting"},0),"Obtain from ICA/home country authority","Request from employer/HR/ICA portal","Request from employer/HR","Download from IRAS/CPF/Bank portals","Obtain from institution","Coordinate with family members","Prepare at your discretion"),"")</f>
        <v>0</v>
      </c>
      <c r="F9" s="12">
        <f>IF(AND('DOCUMENT CHECKLIST'!E9="Yes",'DOCUMENT CHECKLIST'!F9="Missing"),VLOOKUP('DOCUMENT CHECKLIST'!D9,{"Identity &amp; Civil","High";"Immigration &amp; Pass","High";"Employment","High";"Income &amp; Financial","High";"Education","Medium";"Family","Medium";"Supporting","Low"},2,FALSE),"")</f>
        <v>0</v>
      </c>
      <c r="G9" s="22" t="s">
        <v>22</v>
      </c>
      <c r="H9" s="9" t="s">
        <v>22</v>
      </c>
    </row>
    <row r="10" spans="2:8" x14ac:dyDescent="0.25">
      <c r="B10" s="4">
        <v>5</v>
      </c>
      <c r="C10" s="19">
        <f>IF(AND('DOCUMENT CHECKLIST'!E10="Yes",'DOCUMENT CHECKLIST'!F10="Missing"),'DOCUMENT CHECKLIST'!C10,"")</f>
        <v>0</v>
      </c>
      <c r="D10" s="19">
        <f>IF(AND('DOCUMENT CHECKLIST'!E10="Yes",'DOCUMENT CHECKLIST'!F10="Missing"),'DOCUMENT CHECKLIST'!D10,"")</f>
        <v>0</v>
      </c>
      <c r="E10" s="19">
        <f>IF(AND('DOCUMENT CHECKLIST'!E10="Yes",'DOCUMENT CHECKLIST'!F10="Missing"),CHOOSE(MATCH('DOCUMENT CHECKLIST'!D10,{"Identity &amp; Civil","Immigration &amp; Pass","Employment","Income &amp; Financial","Education","Family","Supporting"},0),"Obtain from ICA/home country authority","Request from employer/HR/ICA portal","Request from employer/HR","Download from IRAS/CPF/Bank portals","Obtain from institution","Coordinate with family members","Prepare at your discretion"),"")</f>
        <v>0</v>
      </c>
      <c r="F10" s="12">
        <f>IF(AND('DOCUMENT CHECKLIST'!E10="Yes",'DOCUMENT CHECKLIST'!F10="Missing"),VLOOKUP('DOCUMENT CHECKLIST'!D10,{"Identity &amp; Civil","High";"Immigration &amp; Pass","High";"Employment","High";"Income &amp; Financial","High";"Education","Medium";"Family","Medium";"Supporting","Low"},2,FALSE),"")</f>
        <v>0</v>
      </c>
      <c r="G10" s="22" t="s">
        <v>22</v>
      </c>
      <c r="H10" s="9" t="s">
        <v>22</v>
      </c>
    </row>
    <row r="11" spans="2:8" x14ac:dyDescent="0.25">
      <c r="B11" s="4">
        <v>6</v>
      </c>
      <c r="C11" s="19">
        <f>IF(AND('DOCUMENT CHECKLIST'!E11="Yes",'DOCUMENT CHECKLIST'!F11="Missing"),'DOCUMENT CHECKLIST'!C11,"")</f>
        <v>0</v>
      </c>
      <c r="D11" s="19">
        <f>IF(AND('DOCUMENT CHECKLIST'!E11="Yes",'DOCUMENT CHECKLIST'!F11="Missing"),'DOCUMENT CHECKLIST'!D11,"")</f>
        <v>0</v>
      </c>
      <c r="E11" s="19">
        <f>IF(AND('DOCUMENT CHECKLIST'!E11="Yes",'DOCUMENT CHECKLIST'!F11="Missing"),CHOOSE(MATCH('DOCUMENT CHECKLIST'!D11,{"Identity &amp; Civil","Immigration &amp; Pass","Employment","Income &amp; Financial","Education","Family","Supporting"},0),"Obtain from ICA/home country authority","Request from employer/HR/ICA portal","Request from employer/HR","Download from IRAS/CPF/Bank portals","Obtain from institution","Coordinate with family members","Prepare at your discretion"),"")</f>
        <v>0</v>
      </c>
      <c r="F11" s="12">
        <f>IF(AND('DOCUMENT CHECKLIST'!E11="Yes",'DOCUMENT CHECKLIST'!F11="Missing"),VLOOKUP('DOCUMENT CHECKLIST'!D11,{"Identity &amp; Civil","High";"Immigration &amp; Pass","High";"Employment","High";"Income &amp; Financial","High";"Education","Medium";"Family","Medium";"Supporting","Low"},2,FALSE),"")</f>
        <v>0</v>
      </c>
      <c r="G11" s="22" t="s">
        <v>22</v>
      </c>
      <c r="H11" s="9" t="s">
        <v>22</v>
      </c>
    </row>
    <row r="12" spans="2:8" x14ac:dyDescent="0.25">
      <c r="B12" s="4">
        <v>7</v>
      </c>
      <c r="C12" s="19">
        <f>IF(AND('DOCUMENT CHECKLIST'!E12="Yes",'DOCUMENT CHECKLIST'!F12="Missing"),'DOCUMENT CHECKLIST'!C12,"")</f>
        <v>0</v>
      </c>
      <c r="D12" s="19">
        <f>IF(AND('DOCUMENT CHECKLIST'!E12="Yes",'DOCUMENT CHECKLIST'!F12="Missing"),'DOCUMENT CHECKLIST'!D12,"")</f>
        <v>0</v>
      </c>
      <c r="E12" s="19">
        <f>IF(AND('DOCUMENT CHECKLIST'!E12="Yes",'DOCUMENT CHECKLIST'!F12="Missing"),CHOOSE(MATCH('DOCUMENT CHECKLIST'!D12,{"Identity &amp; Civil","Immigration &amp; Pass","Employment","Income &amp; Financial","Education","Family","Supporting"},0),"Obtain from ICA/home country authority","Request from employer/HR/ICA portal","Request from employer/HR","Download from IRAS/CPF/Bank portals","Obtain from institution","Coordinate with family members","Prepare at your discretion"),"")</f>
        <v>0</v>
      </c>
      <c r="F12" s="12">
        <f>IF(AND('DOCUMENT CHECKLIST'!E12="Yes",'DOCUMENT CHECKLIST'!F12="Missing"),VLOOKUP('DOCUMENT CHECKLIST'!D12,{"Identity &amp; Civil","High";"Immigration &amp; Pass","High";"Employment","High";"Income &amp; Financial","High";"Education","Medium";"Family","Medium";"Supporting","Low"},2,FALSE),"")</f>
        <v>0</v>
      </c>
      <c r="G12" s="22" t="s">
        <v>22</v>
      </c>
      <c r="H12" s="9" t="s">
        <v>22</v>
      </c>
    </row>
    <row r="13" spans="2:8" x14ac:dyDescent="0.25">
      <c r="B13" s="4">
        <v>8</v>
      </c>
      <c r="C13" s="19">
        <f>IF(AND('DOCUMENT CHECKLIST'!E13="Yes",'DOCUMENT CHECKLIST'!F13="Missing"),'DOCUMENT CHECKLIST'!C13,"")</f>
        <v>0</v>
      </c>
      <c r="D13" s="19">
        <f>IF(AND('DOCUMENT CHECKLIST'!E13="Yes",'DOCUMENT CHECKLIST'!F13="Missing"),'DOCUMENT CHECKLIST'!D13,"")</f>
        <v>0</v>
      </c>
      <c r="E13" s="19">
        <f>IF(AND('DOCUMENT CHECKLIST'!E13="Yes",'DOCUMENT CHECKLIST'!F13="Missing"),CHOOSE(MATCH('DOCUMENT CHECKLIST'!D13,{"Identity &amp; Civil","Immigration &amp; Pass","Employment","Income &amp; Financial","Education","Family","Supporting"},0),"Obtain from ICA/home country authority","Request from employer/HR/ICA portal","Request from employer/HR","Download from IRAS/CPF/Bank portals","Obtain from institution","Coordinate with family members","Prepare at your discretion"),"")</f>
        <v>0</v>
      </c>
      <c r="F13" s="12">
        <f>IF(AND('DOCUMENT CHECKLIST'!E13="Yes",'DOCUMENT CHECKLIST'!F13="Missing"),VLOOKUP('DOCUMENT CHECKLIST'!D13,{"Identity &amp; Civil","High";"Immigration &amp; Pass","High";"Employment","High";"Income &amp; Financial","High";"Education","Medium";"Family","Medium";"Supporting","Low"},2,FALSE),"")</f>
        <v>0</v>
      </c>
      <c r="G13" s="22" t="s">
        <v>22</v>
      </c>
      <c r="H13" s="9" t="s">
        <v>22</v>
      </c>
    </row>
    <row r="14" spans="2:8" x14ac:dyDescent="0.25">
      <c r="B14" s="4">
        <v>9</v>
      </c>
      <c r="C14" s="19">
        <f>IF(AND('DOCUMENT CHECKLIST'!E14="Yes",'DOCUMENT CHECKLIST'!F14="Missing"),'DOCUMENT CHECKLIST'!C14,"")</f>
        <v>0</v>
      </c>
      <c r="D14" s="19">
        <f>IF(AND('DOCUMENT CHECKLIST'!E14="Yes",'DOCUMENT CHECKLIST'!F14="Missing"),'DOCUMENT CHECKLIST'!D14,"")</f>
        <v>0</v>
      </c>
      <c r="E14" s="19">
        <f>IF(AND('DOCUMENT CHECKLIST'!E14="Yes",'DOCUMENT CHECKLIST'!F14="Missing"),CHOOSE(MATCH('DOCUMENT CHECKLIST'!D14,{"Identity &amp; Civil","Immigration &amp; Pass","Employment","Income &amp; Financial","Education","Family","Supporting"},0),"Obtain from ICA/home country authority","Request from employer/HR/ICA portal","Request from employer/HR","Download from IRAS/CPF/Bank portals","Obtain from institution","Coordinate with family members","Prepare at your discretion"),"")</f>
        <v>0</v>
      </c>
      <c r="F14" s="12">
        <f>IF(AND('DOCUMENT CHECKLIST'!E14="Yes",'DOCUMENT CHECKLIST'!F14="Missing"),VLOOKUP('DOCUMENT CHECKLIST'!D14,{"Identity &amp; Civil","High";"Immigration &amp; Pass","High";"Employment","High";"Income &amp; Financial","High";"Education","Medium";"Family","Medium";"Supporting","Low"},2,FALSE),"")</f>
        <v>0</v>
      </c>
      <c r="G14" s="22" t="s">
        <v>22</v>
      </c>
      <c r="H14" s="9" t="s">
        <v>22</v>
      </c>
    </row>
    <row r="15" spans="2:8" x14ac:dyDescent="0.25">
      <c r="B15" s="4">
        <v>10</v>
      </c>
      <c r="C15" s="19">
        <f>IF(AND('DOCUMENT CHECKLIST'!E15="Yes",'DOCUMENT CHECKLIST'!F15="Missing"),'DOCUMENT CHECKLIST'!C15,"")</f>
        <v>0</v>
      </c>
      <c r="D15" s="19">
        <f>IF(AND('DOCUMENT CHECKLIST'!E15="Yes",'DOCUMENT CHECKLIST'!F15="Missing"),'DOCUMENT CHECKLIST'!D15,"")</f>
        <v>0</v>
      </c>
      <c r="E15" s="19">
        <f>IF(AND('DOCUMENT CHECKLIST'!E15="Yes",'DOCUMENT CHECKLIST'!F15="Missing"),CHOOSE(MATCH('DOCUMENT CHECKLIST'!D15,{"Identity &amp; Civil","Immigration &amp; Pass","Employment","Income &amp; Financial","Education","Family","Supporting"},0),"Obtain from ICA/home country authority","Request from employer/HR/ICA portal","Request from employer/HR","Download from IRAS/CPF/Bank portals","Obtain from institution","Coordinate with family members","Prepare at your discretion"),"")</f>
        <v>0</v>
      </c>
      <c r="F15" s="12">
        <f>IF(AND('DOCUMENT CHECKLIST'!E15="Yes",'DOCUMENT CHECKLIST'!F15="Missing"),VLOOKUP('DOCUMENT CHECKLIST'!D15,{"Identity &amp; Civil","High";"Immigration &amp; Pass","High";"Employment","High";"Income &amp; Financial","High";"Education","Medium";"Family","Medium";"Supporting","Low"},2,FALSE),"")</f>
        <v>0</v>
      </c>
      <c r="G15" s="22" t="s">
        <v>22</v>
      </c>
      <c r="H15" s="9" t="s">
        <v>22</v>
      </c>
    </row>
    <row r="16" spans="2:8" x14ac:dyDescent="0.25">
      <c r="B16" s="4">
        <v>11</v>
      </c>
      <c r="C16" s="19">
        <f>IF(AND('DOCUMENT CHECKLIST'!E16="Yes",'DOCUMENT CHECKLIST'!F16="Missing"),'DOCUMENT CHECKLIST'!C16,"")</f>
        <v>0</v>
      </c>
      <c r="D16" s="19">
        <f>IF(AND('DOCUMENT CHECKLIST'!E16="Yes",'DOCUMENT CHECKLIST'!F16="Missing"),'DOCUMENT CHECKLIST'!D16,"")</f>
        <v>0</v>
      </c>
      <c r="E16" s="19">
        <f>IF(AND('DOCUMENT CHECKLIST'!E16="Yes",'DOCUMENT CHECKLIST'!F16="Missing"),CHOOSE(MATCH('DOCUMENT CHECKLIST'!D16,{"Identity &amp; Civil","Immigration &amp; Pass","Employment","Income &amp; Financial","Education","Family","Supporting"},0),"Obtain from ICA/home country authority","Request from employer/HR/ICA portal","Request from employer/HR","Download from IRAS/CPF/Bank portals","Obtain from institution","Coordinate with family members","Prepare at your discretion"),"")</f>
        <v>0</v>
      </c>
      <c r="F16" s="12">
        <f>IF(AND('DOCUMENT CHECKLIST'!E16="Yes",'DOCUMENT CHECKLIST'!F16="Missing"),VLOOKUP('DOCUMENT CHECKLIST'!D16,{"Identity &amp; Civil","High";"Immigration &amp; Pass","High";"Employment","High";"Income &amp; Financial","High";"Education","Medium";"Family","Medium";"Supporting","Low"},2,FALSE),"")</f>
        <v>0</v>
      </c>
      <c r="G16" s="22" t="s">
        <v>22</v>
      </c>
      <c r="H16" s="9" t="s">
        <v>22</v>
      </c>
    </row>
    <row r="17" spans="2:8" x14ac:dyDescent="0.25">
      <c r="B17" s="4">
        <v>12</v>
      </c>
      <c r="C17" s="19">
        <f>IF(AND('DOCUMENT CHECKLIST'!E17="Yes",'DOCUMENT CHECKLIST'!F17="Missing"),'DOCUMENT CHECKLIST'!C17,"")</f>
        <v>0</v>
      </c>
      <c r="D17" s="19">
        <f>IF(AND('DOCUMENT CHECKLIST'!E17="Yes",'DOCUMENT CHECKLIST'!F17="Missing"),'DOCUMENT CHECKLIST'!D17,"")</f>
        <v>0</v>
      </c>
      <c r="E17" s="19">
        <f>IF(AND('DOCUMENT CHECKLIST'!E17="Yes",'DOCUMENT CHECKLIST'!F17="Missing"),CHOOSE(MATCH('DOCUMENT CHECKLIST'!D17,{"Identity &amp; Civil","Immigration &amp; Pass","Employment","Income &amp; Financial","Education","Family","Supporting"},0),"Obtain from ICA/home country authority","Request from employer/HR/ICA portal","Request from employer/HR","Download from IRAS/CPF/Bank portals","Obtain from institution","Coordinate with family members","Prepare at your discretion"),"")</f>
        <v>0</v>
      </c>
      <c r="F17" s="12">
        <f>IF(AND('DOCUMENT CHECKLIST'!E17="Yes",'DOCUMENT CHECKLIST'!F17="Missing"),VLOOKUP('DOCUMENT CHECKLIST'!D17,{"Identity &amp; Civil","High";"Immigration &amp; Pass","High";"Employment","High";"Income &amp; Financial","High";"Education","Medium";"Family","Medium";"Supporting","Low"},2,FALSE),"")</f>
        <v>0</v>
      </c>
      <c r="G17" s="22" t="s">
        <v>22</v>
      </c>
      <c r="H17" s="9" t="s">
        <v>22</v>
      </c>
    </row>
    <row r="18" spans="2:8" x14ac:dyDescent="0.25">
      <c r="B18" s="4">
        <v>13</v>
      </c>
      <c r="C18" s="19">
        <f>IF(AND('DOCUMENT CHECKLIST'!E18="Yes",'DOCUMENT CHECKLIST'!F18="Missing"),'DOCUMENT CHECKLIST'!C18,"")</f>
        <v>0</v>
      </c>
      <c r="D18" s="19">
        <f>IF(AND('DOCUMENT CHECKLIST'!E18="Yes",'DOCUMENT CHECKLIST'!F18="Missing"),'DOCUMENT CHECKLIST'!D18,"")</f>
        <v>0</v>
      </c>
      <c r="E18" s="19">
        <f>IF(AND('DOCUMENT CHECKLIST'!E18="Yes",'DOCUMENT CHECKLIST'!F18="Missing"),CHOOSE(MATCH('DOCUMENT CHECKLIST'!D18,{"Identity &amp; Civil","Immigration &amp; Pass","Employment","Income &amp; Financial","Education","Family","Supporting"},0),"Obtain from ICA/home country authority","Request from employer/HR/ICA portal","Request from employer/HR","Download from IRAS/CPF/Bank portals","Obtain from institution","Coordinate with family members","Prepare at your discretion"),"")</f>
        <v>0</v>
      </c>
      <c r="F18" s="12">
        <f>IF(AND('DOCUMENT CHECKLIST'!E18="Yes",'DOCUMENT CHECKLIST'!F18="Missing"),VLOOKUP('DOCUMENT CHECKLIST'!D18,{"Identity &amp; Civil","High";"Immigration &amp; Pass","High";"Employment","High";"Income &amp; Financial","High";"Education","Medium";"Family","Medium";"Supporting","Low"},2,FALSE),"")</f>
        <v>0</v>
      </c>
      <c r="G18" s="22" t="s">
        <v>22</v>
      </c>
      <c r="H18" s="9" t="s">
        <v>22</v>
      </c>
    </row>
    <row r="19" spans="2:8" x14ac:dyDescent="0.25">
      <c r="B19" s="4">
        <v>14</v>
      </c>
      <c r="C19" s="19">
        <f>IF(AND('DOCUMENT CHECKLIST'!E19="Yes",'DOCUMENT CHECKLIST'!F19="Missing"),'DOCUMENT CHECKLIST'!C19,"")</f>
        <v>0</v>
      </c>
      <c r="D19" s="19">
        <f>IF(AND('DOCUMENT CHECKLIST'!E19="Yes",'DOCUMENT CHECKLIST'!F19="Missing"),'DOCUMENT CHECKLIST'!D19,"")</f>
        <v>0</v>
      </c>
      <c r="E19" s="19">
        <f>IF(AND('DOCUMENT CHECKLIST'!E19="Yes",'DOCUMENT CHECKLIST'!F19="Missing"),CHOOSE(MATCH('DOCUMENT CHECKLIST'!D19,{"Identity &amp; Civil","Immigration &amp; Pass","Employment","Income &amp; Financial","Education","Family","Supporting"},0),"Obtain from ICA/home country authority","Request from employer/HR/ICA portal","Request from employer/HR","Download from IRAS/CPF/Bank portals","Obtain from institution","Coordinate with family members","Prepare at your discretion"),"")</f>
        <v>0</v>
      </c>
      <c r="F19" s="12">
        <f>IF(AND('DOCUMENT CHECKLIST'!E19="Yes",'DOCUMENT CHECKLIST'!F19="Missing"),VLOOKUP('DOCUMENT CHECKLIST'!D19,{"Identity &amp; Civil","High";"Immigration &amp; Pass","High";"Employment","High";"Income &amp; Financial","High";"Education","Medium";"Family","Medium";"Supporting","Low"},2,FALSE),"")</f>
        <v>0</v>
      </c>
      <c r="G19" s="22" t="s">
        <v>22</v>
      </c>
      <c r="H19" s="9" t="s">
        <v>22</v>
      </c>
    </row>
    <row r="20" spans="2:8" x14ac:dyDescent="0.25">
      <c r="B20" s="4">
        <v>15</v>
      </c>
      <c r="C20" s="19">
        <f>IF(AND('DOCUMENT CHECKLIST'!E20="Yes",'DOCUMENT CHECKLIST'!F20="Missing"),'DOCUMENT CHECKLIST'!C20,"")</f>
        <v>0</v>
      </c>
      <c r="D20" s="19">
        <f>IF(AND('DOCUMENT CHECKLIST'!E20="Yes",'DOCUMENT CHECKLIST'!F20="Missing"),'DOCUMENT CHECKLIST'!D20,"")</f>
        <v>0</v>
      </c>
      <c r="E20" s="19">
        <f>IF(AND('DOCUMENT CHECKLIST'!E20="Yes",'DOCUMENT CHECKLIST'!F20="Missing"),CHOOSE(MATCH('DOCUMENT CHECKLIST'!D20,{"Identity &amp; Civil","Immigration &amp; Pass","Employment","Income &amp; Financial","Education","Family","Supporting"},0),"Obtain from ICA/home country authority","Request from employer/HR/ICA portal","Request from employer/HR","Download from IRAS/CPF/Bank portals","Obtain from institution","Coordinate with family members","Prepare at your discretion"),"")</f>
        <v>0</v>
      </c>
      <c r="F20" s="12">
        <f>IF(AND('DOCUMENT CHECKLIST'!E20="Yes",'DOCUMENT CHECKLIST'!F20="Missing"),VLOOKUP('DOCUMENT CHECKLIST'!D20,{"Identity &amp; Civil","High";"Immigration &amp; Pass","High";"Employment","High";"Income &amp; Financial","High";"Education","Medium";"Family","Medium";"Supporting","Low"},2,FALSE),"")</f>
        <v>0</v>
      </c>
      <c r="G20" s="22" t="s">
        <v>22</v>
      </c>
      <c r="H20" s="9" t="s">
        <v>22</v>
      </c>
    </row>
    <row r="21" spans="2:8" x14ac:dyDescent="0.25">
      <c r="B21" s="4">
        <v>16</v>
      </c>
      <c r="C21" s="19">
        <f>IF(AND('DOCUMENT CHECKLIST'!E21="Yes",'DOCUMENT CHECKLIST'!F21="Missing"),'DOCUMENT CHECKLIST'!C21,"")</f>
        <v>0</v>
      </c>
      <c r="D21" s="19">
        <f>IF(AND('DOCUMENT CHECKLIST'!E21="Yes",'DOCUMENT CHECKLIST'!F21="Missing"),'DOCUMENT CHECKLIST'!D21,"")</f>
        <v>0</v>
      </c>
      <c r="E21" s="19">
        <f>IF(AND('DOCUMENT CHECKLIST'!E21="Yes",'DOCUMENT CHECKLIST'!F21="Missing"),CHOOSE(MATCH('DOCUMENT CHECKLIST'!D21,{"Identity &amp; Civil","Immigration &amp; Pass","Employment","Income &amp; Financial","Education","Family","Supporting"},0),"Obtain from ICA/home country authority","Request from employer/HR/ICA portal","Request from employer/HR","Download from IRAS/CPF/Bank portals","Obtain from institution","Coordinate with family members","Prepare at your discretion"),"")</f>
        <v>0</v>
      </c>
      <c r="F21" s="12">
        <f>IF(AND('DOCUMENT CHECKLIST'!E21="Yes",'DOCUMENT CHECKLIST'!F21="Missing"),VLOOKUP('DOCUMENT CHECKLIST'!D21,{"Identity &amp; Civil","High";"Immigration &amp; Pass","High";"Employment","High";"Income &amp; Financial","High";"Education","Medium";"Family","Medium";"Supporting","Low"},2,FALSE),"")</f>
        <v>0</v>
      </c>
      <c r="G21" s="22" t="s">
        <v>22</v>
      </c>
      <c r="H21" s="9" t="s">
        <v>22</v>
      </c>
    </row>
    <row r="22" spans="2:8" x14ac:dyDescent="0.25">
      <c r="B22" s="4">
        <v>17</v>
      </c>
      <c r="C22" s="19">
        <f>IF(AND('DOCUMENT CHECKLIST'!E22="Yes",'DOCUMENT CHECKLIST'!F22="Missing"),'DOCUMENT CHECKLIST'!C22,"")</f>
        <v>0</v>
      </c>
      <c r="D22" s="19">
        <f>IF(AND('DOCUMENT CHECKLIST'!E22="Yes",'DOCUMENT CHECKLIST'!F22="Missing"),'DOCUMENT CHECKLIST'!D22,"")</f>
        <v>0</v>
      </c>
      <c r="E22" s="19">
        <f>IF(AND('DOCUMENT CHECKLIST'!E22="Yes",'DOCUMENT CHECKLIST'!F22="Missing"),CHOOSE(MATCH('DOCUMENT CHECKLIST'!D22,{"Identity &amp; Civil","Immigration &amp; Pass","Employment","Income &amp; Financial","Education","Family","Supporting"},0),"Obtain from ICA/home country authority","Request from employer/HR/ICA portal","Request from employer/HR","Download from IRAS/CPF/Bank portals","Obtain from institution","Coordinate with family members","Prepare at your discretion"),"")</f>
        <v>0</v>
      </c>
      <c r="F22" s="12">
        <f>IF(AND('DOCUMENT CHECKLIST'!E22="Yes",'DOCUMENT CHECKLIST'!F22="Missing"),VLOOKUP('DOCUMENT CHECKLIST'!D22,{"Identity &amp; Civil","High";"Immigration &amp; Pass","High";"Employment","High";"Income &amp; Financial","High";"Education","Medium";"Family","Medium";"Supporting","Low"},2,FALSE),"")</f>
        <v>0</v>
      </c>
      <c r="G22" s="22" t="s">
        <v>22</v>
      </c>
      <c r="H22" s="9" t="s">
        <v>22</v>
      </c>
    </row>
    <row r="23" spans="2:8" x14ac:dyDescent="0.25">
      <c r="B23" s="4">
        <v>18</v>
      </c>
      <c r="C23" s="19">
        <f>IF(AND('DOCUMENT CHECKLIST'!E23="Yes",'DOCUMENT CHECKLIST'!F23="Missing"),'DOCUMENT CHECKLIST'!C23,"")</f>
        <v>0</v>
      </c>
      <c r="D23" s="19">
        <f>IF(AND('DOCUMENT CHECKLIST'!E23="Yes",'DOCUMENT CHECKLIST'!F23="Missing"),'DOCUMENT CHECKLIST'!D23,"")</f>
        <v>0</v>
      </c>
      <c r="E23" s="19">
        <f>IF(AND('DOCUMENT CHECKLIST'!E23="Yes",'DOCUMENT CHECKLIST'!F23="Missing"),CHOOSE(MATCH('DOCUMENT CHECKLIST'!D23,{"Identity &amp; Civil","Immigration &amp; Pass","Employment","Income &amp; Financial","Education","Family","Supporting"},0),"Obtain from ICA/home country authority","Request from employer/HR/ICA portal","Request from employer/HR","Download from IRAS/CPF/Bank portals","Obtain from institution","Coordinate with family members","Prepare at your discretion"),"")</f>
        <v>0</v>
      </c>
      <c r="F23" s="12">
        <f>IF(AND('DOCUMENT CHECKLIST'!E23="Yes",'DOCUMENT CHECKLIST'!F23="Missing"),VLOOKUP('DOCUMENT CHECKLIST'!D23,{"Identity &amp; Civil","High";"Immigration &amp; Pass","High";"Employment","High";"Income &amp; Financial","High";"Education","Medium";"Family","Medium";"Supporting","Low"},2,FALSE),"")</f>
        <v>0</v>
      </c>
      <c r="G23" s="22" t="s">
        <v>22</v>
      </c>
      <c r="H23" s="9" t="s">
        <v>22</v>
      </c>
    </row>
    <row r="24" spans="2:8" x14ac:dyDescent="0.25">
      <c r="B24" s="4">
        <v>19</v>
      </c>
      <c r="C24" s="19">
        <f>IF(AND('DOCUMENT CHECKLIST'!E24="Yes",'DOCUMENT CHECKLIST'!F24="Missing"),'DOCUMENT CHECKLIST'!C24,"")</f>
        <v>0</v>
      </c>
      <c r="D24" s="19">
        <f>IF(AND('DOCUMENT CHECKLIST'!E24="Yes",'DOCUMENT CHECKLIST'!F24="Missing"),'DOCUMENT CHECKLIST'!D24,"")</f>
        <v>0</v>
      </c>
      <c r="E24" s="19">
        <f>IF(AND('DOCUMENT CHECKLIST'!E24="Yes",'DOCUMENT CHECKLIST'!F24="Missing"),CHOOSE(MATCH('DOCUMENT CHECKLIST'!D24,{"Identity &amp; Civil","Immigration &amp; Pass","Employment","Income &amp; Financial","Education","Family","Supporting"},0),"Obtain from ICA/home country authority","Request from employer/HR/ICA portal","Request from employer/HR","Download from IRAS/CPF/Bank portals","Obtain from institution","Coordinate with family members","Prepare at your discretion"),"")</f>
        <v>0</v>
      </c>
      <c r="F24" s="12">
        <f>IF(AND('DOCUMENT CHECKLIST'!E24="Yes",'DOCUMENT CHECKLIST'!F24="Missing"),VLOOKUP('DOCUMENT CHECKLIST'!D24,{"Identity &amp; Civil","High";"Immigration &amp; Pass","High";"Employment","High";"Income &amp; Financial","High";"Education","Medium";"Family","Medium";"Supporting","Low"},2,FALSE),"")</f>
        <v>0</v>
      </c>
      <c r="G24" s="22" t="s">
        <v>22</v>
      </c>
      <c r="H24" s="9" t="s">
        <v>22</v>
      </c>
    </row>
    <row r="25" spans="2:8" x14ac:dyDescent="0.25">
      <c r="B25" s="4">
        <v>20</v>
      </c>
      <c r="C25" s="19">
        <f>IF(AND('DOCUMENT CHECKLIST'!E25="Yes",'DOCUMENT CHECKLIST'!F25="Missing"),'DOCUMENT CHECKLIST'!C25,"")</f>
        <v>0</v>
      </c>
      <c r="D25" s="19">
        <f>IF(AND('DOCUMENT CHECKLIST'!E25="Yes",'DOCUMENT CHECKLIST'!F25="Missing"),'DOCUMENT CHECKLIST'!D25,"")</f>
        <v>0</v>
      </c>
      <c r="E25" s="19">
        <f>IF(AND('DOCUMENT CHECKLIST'!E25="Yes",'DOCUMENT CHECKLIST'!F25="Missing"),CHOOSE(MATCH('DOCUMENT CHECKLIST'!D25,{"Identity &amp; Civil","Immigration &amp; Pass","Employment","Income &amp; Financial","Education","Family","Supporting"},0),"Obtain from ICA/home country authority","Request from employer/HR/ICA portal","Request from employer/HR","Download from IRAS/CPF/Bank portals","Obtain from institution","Coordinate with family members","Prepare at your discretion"),"")</f>
        <v>0</v>
      </c>
      <c r="F25" s="12">
        <f>IF(AND('DOCUMENT CHECKLIST'!E25="Yes",'DOCUMENT CHECKLIST'!F25="Missing"),VLOOKUP('DOCUMENT CHECKLIST'!D25,{"Identity &amp; Civil","High";"Immigration &amp; Pass","High";"Employment","High";"Income &amp; Financial","High";"Education","Medium";"Family","Medium";"Supporting","Low"},2,FALSE),"")</f>
        <v>0</v>
      </c>
      <c r="G25" s="22" t="s">
        <v>22</v>
      </c>
      <c r="H25" s="9" t="s">
        <v>22</v>
      </c>
    </row>
    <row r="26" spans="2:8" x14ac:dyDescent="0.25">
      <c r="B26" s="4">
        <v>21</v>
      </c>
      <c r="C26" s="19">
        <f>IF(AND('DOCUMENT CHECKLIST'!E26="Yes",'DOCUMENT CHECKLIST'!F26="Missing"),'DOCUMENT CHECKLIST'!C26,"")</f>
        <v>0</v>
      </c>
      <c r="D26" s="19">
        <f>IF(AND('DOCUMENT CHECKLIST'!E26="Yes",'DOCUMENT CHECKLIST'!F26="Missing"),'DOCUMENT CHECKLIST'!D26,"")</f>
        <v>0</v>
      </c>
      <c r="E26" s="19">
        <f>IF(AND('DOCUMENT CHECKLIST'!E26="Yes",'DOCUMENT CHECKLIST'!F26="Missing"),CHOOSE(MATCH('DOCUMENT CHECKLIST'!D26,{"Identity &amp; Civil","Immigration &amp; Pass","Employment","Income &amp; Financial","Education","Family","Supporting"},0),"Obtain from ICA/home country authority","Request from employer/HR/ICA portal","Request from employer/HR","Download from IRAS/CPF/Bank portals","Obtain from institution","Coordinate with family members","Prepare at your discretion"),"")</f>
        <v>0</v>
      </c>
      <c r="F26" s="12">
        <f>IF(AND('DOCUMENT CHECKLIST'!E26="Yes",'DOCUMENT CHECKLIST'!F26="Missing"),VLOOKUP('DOCUMENT CHECKLIST'!D26,{"Identity &amp; Civil","High";"Immigration &amp; Pass","High";"Employment","High";"Income &amp; Financial","High";"Education","Medium";"Family","Medium";"Supporting","Low"},2,FALSE),"")</f>
        <v>0</v>
      </c>
      <c r="G26" s="22" t="s">
        <v>22</v>
      </c>
      <c r="H26" s="9" t="s">
        <v>22</v>
      </c>
    </row>
    <row r="27" spans="2:8" x14ac:dyDescent="0.25">
      <c r="B27" s="4">
        <v>22</v>
      </c>
      <c r="C27" s="19">
        <f>IF(AND('DOCUMENT CHECKLIST'!E27="Yes",'DOCUMENT CHECKLIST'!F27="Missing"),'DOCUMENT CHECKLIST'!C27,"")</f>
        <v>0</v>
      </c>
      <c r="D27" s="19">
        <f>IF(AND('DOCUMENT CHECKLIST'!E27="Yes",'DOCUMENT CHECKLIST'!F27="Missing"),'DOCUMENT CHECKLIST'!D27,"")</f>
        <v>0</v>
      </c>
      <c r="E27" s="19">
        <f>IF(AND('DOCUMENT CHECKLIST'!E27="Yes",'DOCUMENT CHECKLIST'!F27="Missing"),CHOOSE(MATCH('DOCUMENT CHECKLIST'!D27,{"Identity &amp; Civil","Immigration &amp; Pass","Employment","Income &amp; Financial","Education","Family","Supporting"},0),"Obtain from ICA/home country authority","Request from employer/HR/ICA portal","Request from employer/HR","Download from IRAS/CPF/Bank portals","Obtain from institution","Coordinate with family members","Prepare at your discretion"),"")</f>
        <v>0</v>
      </c>
      <c r="F27" s="12">
        <f>IF(AND('DOCUMENT CHECKLIST'!E27="Yes",'DOCUMENT CHECKLIST'!F27="Missing"),VLOOKUP('DOCUMENT CHECKLIST'!D27,{"Identity &amp; Civil","High";"Immigration &amp; Pass","High";"Employment","High";"Income &amp; Financial","High";"Education","Medium";"Family","Medium";"Supporting","Low"},2,FALSE),"")</f>
        <v>0</v>
      </c>
      <c r="G27" s="22" t="s">
        <v>22</v>
      </c>
      <c r="H27" s="9" t="s">
        <v>22</v>
      </c>
    </row>
    <row r="28" spans="2:8" x14ac:dyDescent="0.25">
      <c r="B28" s="4">
        <v>23</v>
      </c>
      <c r="C28" s="19">
        <f>IF(AND('DOCUMENT CHECKLIST'!E28="Yes",'DOCUMENT CHECKLIST'!F28="Missing"),'DOCUMENT CHECKLIST'!C28,"")</f>
        <v>0</v>
      </c>
      <c r="D28" s="19">
        <f>IF(AND('DOCUMENT CHECKLIST'!E28="Yes",'DOCUMENT CHECKLIST'!F28="Missing"),'DOCUMENT CHECKLIST'!D28,"")</f>
        <v>0</v>
      </c>
      <c r="E28" s="19">
        <f>IF(AND('DOCUMENT CHECKLIST'!E28="Yes",'DOCUMENT CHECKLIST'!F28="Missing"),CHOOSE(MATCH('DOCUMENT CHECKLIST'!D28,{"Identity &amp; Civil","Immigration &amp; Pass","Employment","Income &amp; Financial","Education","Family","Supporting"},0),"Obtain from ICA/home country authority","Request from employer/HR/ICA portal","Request from employer/HR","Download from IRAS/CPF/Bank portals","Obtain from institution","Coordinate with family members","Prepare at your discretion"),"")</f>
        <v>0</v>
      </c>
      <c r="F28" s="12">
        <f>IF(AND('DOCUMENT CHECKLIST'!E28="Yes",'DOCUMENT CHECKLIST'!F28="Missing"),VLOOKUP('DOCUMENT CHECKLIST'!D28,{"Identity &amp; Civil","High";"Immigration &amp; Pass","High";"Employment","High";"Income &amp; Financial","High";"Education","Medium";"Family","Medium";"Supporting","Low"},2,FALSE),"")</f>
        <v>0</v>
      </c>
      <c r="G28" s="22" t="s">
        <v>22</v>
      </c>
      <c r="H28" s="9" t="s">
        <v>22</v>
      </c>
    </row>
    <row r="29" spans="2:8" x14ac:dyDescent="0.25">
      <c r="B29" s="4">
        <v>24</v>
      </c>
      <c r="C29" s="19">
        <f>IF(AND('DOCUMENT CHECKLIST'!E29="Yes",'DOCUMENT CHECKLIST'!F29="Missing"),'DOCUMENT CHECKLIST'!C29,"")</f>
        <v>0</v>
      </c>
      <c r="D29" s="19">
        <f>IF(AND('DOCUMENT CHECKLIST'!E29="Yes",'DOCUMENT CHECKLIST'!F29="Missing"),'DOCUMENT CHECKLIST'!D29,"")</f>
        <v>0</v>
      </c>
      <c r="E29" s="19">
        <f>IF(AND('DOCUMENT CHECKLIST'!E29="Yes",'DOCUMENT CHECKLIST'!F29="Missing"),CHOOSE(MATCH('DOCUMENT CHECKLIST'!D29,{"Identity &amp; Civil","Immigration &amp; Pass","Employment","Income &amp; Financial","Education","Family","Supporting"},0),"Obtain from ICA/home country authority","Request from employer/HR/ICA portal","Request from employer/HR","Download from IRAS/CPF/Bank portals","Obtain from institution","Coordinate with family members","Prepare at your discretion"),"")</f>
        <v>0</v>
      </c>
      <c r="F29" s="12">
        <f>IF(AND('DOCUMENT CHECKLIST'!E29="Yes",'DOCUMENT CHECKLIST'!F29="Missing"),VLOOKUP('DOCUMENT CHECKLIST'!D29,{"Identity &amp; Civil","High";"Immigration &amp; Pass","High";"Employment","High";"Income &amp; Financial","High";"Education","Medium";"Family","Medium";"Supporting","Low"},2,FALSE),"")</f>
        <v>0</v>
      </c>
      <c r="G29" s="22" t="s">
        <v>22</v>
      </c>
      <c r="H29" s="9" t="s">
        <v>22</v>
      </c>
    </row>
    <row r="30" spans="2:8" x14ac:dyDescent="0.25">
      <c r="B30" s="4">
        <v>25</v>
      </c>
      <c r="C30" s="19">
        <f>IF(AND('DOCUMENT CHECKLIST'!E30="Yes",'DOCUMENT CHECKLIST'!F30="Missing"),'DOCUMENT CHECKLIST'!C30,"")</f>
        <v>0</v>
      </c>
      <c r="D30" s="19">
        <f>IF(AND('DOCUMENT CHECKLIST'!E30="Yes",'DOCUMENT CHECKLIST'!F30="Missing"),'DOCUMENT CHECKLIST'!D30,"")</f>
        <v>0</v>
      </c>
      <c r="E30" s="19">
        <f>IF(AND('DOCUMENT CHECKLIST'!E30="Yes",'DOCUMENT CHECKLIST'!F30="Missing"),CHOOSE(MATCH('DOCUMENT CHECKLIST'!D30,{"Identity &amp; Civil","Immigration &amp; Pass","Employment","Income &amp; Financial","Education","Family","Supporting"},0),"Obtain from ICA/home country authority","Request from employer/HR/ICA portal","Request from employer/HR","Download from IRAS/CPF/Bank portals","Obtain from institution","Coordinate with family members","Prepare at your discretion"),"")</f>
        <v>0</v>
      </c>
      <c r="F30" s="12">
        <f>IF(AND('DOCUMENT CHECKLIST'!E30="Yes",'DOCUMENT CHECKLIST'!F30="Missing"),VLOOKUP('DOCUMENT CHECKLIST'!D30,{"Identity &amp; Civil","High";"Immigration &amp; Pass","High";"Employment","High";"Income &amp; Financial","High";"Education","Medium";"Family","Medium";"Supporting","Low"},2,FALSE),"")</f>
        <v>0</v>
      </c>
      <c r="G30" s="22" t="s">
        <v>22</v>
      </c>
      <c r="H30" s="9" t="s">
        <v>22</v>
      </c>
    </row>
    <row r="31" spans="2:8" x14ac:dyDescent="0.25">
      <c r="B31" s="4">
        <v>26</v>
      </c>
      <c r="C31" s="19">
        <f>IF(AND('DOCUMENT CHECKLIST'!E31="Yes",'DOCUMENT CHECKLIST'!F31="Missing"),'DOCUMENT CHECKLIST'!C31,"")</f>
        <v>0</v>
      </c>
      <c r="D31" s="19">
        <f>IF(AND('DOCUMENT CHECKLIST'!E31="Yes",'DOCUMENT CHECKLIST'!F31="Missing"),'DOCUMENT CHECKLIST'!D31,"")</f>
        <v>0</v>
      </c>
      <c r="E31" s="19">
        <f>IF(AND('DOCUMENT CHECKLIST'!E31="Yes",'DOCUMENT CHECKLIST'!F31="Missing"),CHOOSE(MATCH('DOCUMENT CHECKLIST'!D31,{"Identity &amp; Civil","Immigration &amp; Pass","Employment","Income &amp; Financial","Education","Family","Supporting"},0),"Obtain from ICA/home country authority","Request from employer/HR/ICA portal","Request from employer/HR","Download from IRAS/CPF/Bank portals","Obtain from institution","Coordinate with family members","Prepare at your discretion"),"")</f>
        <v>0</v>
      </c>
      <c r="F31" s="12">
        <f>IF(AND('DOCUMENT CHECKLIST'!E31="Yes",'DOCUMENT CHECKLIST'!F31="Missing"),VLOOKUP('DOCUMENT CHECKLIST'!D31,{"Identity &amp; Civil","High";"Immigration &amp; Pass","High";"Employment","High";"Income &amp; Financial","High";"Education","Medium";"Family","Medium";"Supporting","Low"},2,FALSE),"")</f>
        <v>0</v>
      </c>
      <c r="G31" s="22" t="s">
        <v>22</v>
      </c>
      <c r="H31" s="9" t="s">
        <v>22</v>
      </c>
    </row>
    <row r="32" spans="2:8" x14ac:dyDescent="0.25">
      <c r="B32" s="4">
        <v>27</v>
      </c>
      <c r="C32" s="19">
        <f>IF(AND('DOCUMENT CHECKLIST'!E32="Yes",'DOCUMENT CHECKLIST'!F32="Missing"),'DOCUMENT CHECKLIST'!C32,"")</f>
        <v>0</v>
      </c>
      <c r="D32" s="19">
        <f>IF(AND('DOCUMENT CHECKLIST'!E32="Yes",'DOCUMENT CHECKLIST'!F32="Missing"),'DOCUMENT CHECKLIST'!D32,"")</f>
        <v>0</v>
      </c>
      <c r="E32" s="19">
        <f>IF(AND('DOCUMENT CHECKLIST'!E32="Yes",'DOCUMENT CHECKLIST'!F32="Missing"),CHOOSE(MATCH('DOCUMENT CHECKLIST'!D32,{"Identity &amp; Civil","Immigration &amp; Pass","Employment","Income &amp; Financial","Education","Family","Supporting"},0),"Obtain from ICA/home country authority","Request from employer/HR/ICA portal","Request from employer/HR","Download from IRAS/CPF/Bank portals","Obtain from institution","Coordinate with family members","Prepare at your discretion"),"")</f>
        <v>0</v>
      </c>
      <c r="F32" s="12">
        <f>IF(AND('DOCUMENT CHECKLIST'!E32="Yes",'DOCUMENT CHECKLIST'!F32="Missing"),VLOOKUP('DOCUMENT CHECKLIST'!D32,{"Identity &amp; Civil","High";"Immigration &amp; Pass","High";"Employment","High";"Income &amp; Financial","High";"Education","Medium";"Family","Medium";"Supporting","Low"},2,FALSE),"")</f>
        <v>0</v>
      </c>
      <c r="G32" s="22" t="s">
        <v>22</v>
      </c>
      <c r="H32" s="9" t="s">
        <v>22</v>
      </c>
    </row>
    <row r="33" spans="2:8" x14ac:dyDescent="0.25">
      <c r="B33" s="4">
        <v>28</v>
      </c>
      <c r="C33" s="19">
        <f>IF(AND('DOCUMENT CHECKLIST'!E33="Yes",'DOCUMENT CHECKLIST'!F33="Missing"),'DOCUMENT CHECKLIST'!C33,"")</f>
        <v>0</v>
      </c>
      <c r="D33" s="19">
        <f>IF(AND('DOCUMENT CHECKLIST'!E33="Yes",'DOCUMENT CHECKLIST'!F33="Missing"),'DOCUMENT CHECKLIST'!D33,"")</f>
        <v>0</v>
      </c>
      <c r="E33" s="19">
        <f>IF(AND('DOCUMENT CHECKLIST'!E33="Yes",'DOCUMENT CHECKLIST'!F33="Missing"),CHOOSE(MATCH('DOCUMENT CHECKLIST'!D33,{"Identity &amp; Civil","Immigration &amp; Pass","Employment","Income &amp; Financial","Education","Family","Supporting"},0),"Obtain from ICA/home country authority","Request from employer/HR/ICA portal","Request from employer/HR","Download from IRAS/CPF/Bank portals","Obtain from institution","Coordinate with family members","Prepare at your discretion"),"")</f>
        <v>0</v>
      </c>
      <c r="F33" s="12">
        <f>IF(AND('DOCUMENT CHECKLIST'!E33="Yes",'DOCUMENT CHECKLIST'!F33="Missing"),VLOOKUP('DOCUMENT CHECKLIST'!D33,{"Identity &amp; Civil","High";"Immigration &amp; Pass","High";"Employment","High";"Income &amp; Financial","High";"Education","Medium";"Family","Medium";"Supporting","Low"},2,FALSE),"")</f>
        <v>0</v>
      </c>
      <c r="G33" s="22" t="s">
        <v>22</v>
      </c>
      <c r="H33" s="9" t="s">
        <v>22</v>
      </c>
    </row>
    <row r="34" spans="2:8" x14ac:dyDescent="0.25">
      <c r="B34" s="4">
        <v>29</v>
      </c>
      <c r="C34" s="19">
        <f>IF(AND('DOCUMENT CHECKLIST'!E34="Yes",'DOCUMENT CHECKLIST'!F34="Missing"),'DOCUMENT CHECKLIST'!C34,"")</f>
        <v>0</v>
      </c>
      <c r="D34" s="19">
        <f>IF(AND('DOCUMENT CHECKLIST'!E34="Yes",'DOCUMENT CHECKLIST'!F34="Missing"),'DOCUMENT CHECKLIST'!D34,"")</f>
        <v>0</v>
      </c>
      <c r="E34" s="19">
        <f>IF(AND('DOCUMENT CHECKLIST'!E34="Yes",'DOCUMENT CHECKLIST'!F34="Missing"),CHOOSE(MATCH('DOCUMENT CHECKLIST'!D34,{"Identity &amp; Civil","Immigration &amp; Pass","Employment","Income &amp; Financial","Education","Family","Supporting"},0),"Obtain from ICA/home country authority","Request from employer/HR/ICA portal","Request from employer/HR","Download from IRAS/CPF/Bank portals","Obtain from institution","Coordinate with family members","Prepare at your discretion"),"")</f>
        <v>0</v>
      </c>
      <c r="F34" s="12">
        <f>IF(AND('DOCUMENT CHECKLIST'!E34="Yes",'DOCUMENT CHECKLIST'!F34="Missing"),VLOOKUP('DOCUMENT CHECKLIST'!D34,{"Identity &amp; Civil","High";"Immigration &amp; Pass","High";"Employment","High";"Income &amp; Financial","High";"Education","Medium";"Family","Medium";"Supporting","Low"},2,FALSE),"")</f>
        <v>0</v>
      </c>
      <c r="G34" s="22" t="s">
        <v>22</v>
      </c>
      <c r="H34" s="9" t="s">
        <v>22</v>
      </c>
    </row>
    <row r="35" spans="2:8" x14ac:dyDescent="0.25">
      <c r="B35" s="4">
        <v>30</v>
      </c>
      <c r="C35" s="19">
        <f>IF(AND('DOCUMENT CHECKLIST'!E35="Yes",'DOCUMENT CHECKLIST'!F35="Missing"),'DOCUMENT CHECKLIST'!C35,"")</f>
        <v>0</v>
      </c>
      <c r="D35" s="19">
        <f>IF(AND('DOCUMENT CHECKLIST'!E35="Yes",'DOCUMENT CHECKLIST'!F35="Missing"),'DOCUMENT CHECKLIST'!D35,"")</f>
        <v>0</v>
      </c>
      <c r="E35" s="19">
        <f>IF(AND('DOCUMENT CHECKLIST'!E35="Yes",'DOCUMENT CHECKLIST'!F35="Missing"),CHOOSE(MATCH('DOCUMENT CHECKLIST'!D35,{"Identity &amp; Civil","Immigration &amp; Pass","Employment","Income &amp; Financial","Education","Family","Supporting"},0),"Obtain from ICA/home country authority","Request from employer/HR/ICA portal","Request from employer/HR","Download from IRAS/CPF/Bank portals","Obtain from institution","Coordinate with family members","Prepare at your discretion"),"")</f>
        <v>0</v>
      </c>
      <c r="F35" s="12">
        <f>IF(AND('DOCUMENT CHECKLIST'!E35="Yes",'DOCUMENT CHECKLIST'!F35="Missing"),VLOOKUP('DOCUMENT CHECKLIST'!D35,{"Identity &amp; Civil","High";"Immigration &amp; Pass","High";"Employment","High";"Income &amp; Financial","High";"Education","Medium";"Family","Medium";"Supporting","Low"},2,FALSE),"")</f>
        <v>0</v>
      </c>
      <c r="G35" s="22" t="s">
        <v>22</v>
      </c>
      <c r="H35" s="9" t="s">
        <v>22</v>
      </c>
    </row>
    <row r="36" spans="2:8" x14ac:dyDescent="0.25">
      <c r="B36" s="4">
        <v>31</v>
      </c>
      <c r="C36" s="19">
        <f>IF(AND('DOCUMENT CHECKLIST'!E36="Yes",'DOCUMENT CHECKLIST'!F36="Missing"),'DOCUMENT CHECKLIST'!C36,"")</f>
        <v>0</v>
      </c>
      <c r="D36" s="19">
        <f>IF(AND('DOCUMENT CHECKLIST'!E36="Yes",'DOCUMENT CHECKLIST'!F36="Missing"),'DOCUMENT CHECKLIST'!D36,"")</f>
        <v>0</v>
      </c>
      <c r="E36" s="19">
        <f>IF(AND('DOCUMENT CHECKLIST'!E36="Yes",'DOCUMENT CHECKLIST'!F36="Missing"),CHOOSE(MATCH('DOCUMENT CHECKLIST'!D36,{"Identity &amp; Civil","Immigration &amp; Pass","Employment","Income &amp; Financial","Education","Family","Supporting"},0),"Obtain from ICA/home country authority","Request from employer/HR/ICA portal","Request from employer/HR","Download from IRAS/CPF/Bank portals","Obtain from institution","Coordinate with family members","Prepare at your discretion"),"")</f>
        <v>0</v>
      </c>
      <c r="F36" s="12">
        <f>IF(AND('DOCUMENT CHECKLIST'!E36="Yes",'DOCUMENT CHECKLIST'!F36="Missing"),VLOOKUP('DOCUMENT CHECKLIST'!D36,{"Identity &amp; Civil","High";"Immigration &amp; Pass","High";"Employment","High";"Income &amp; Financial","High";"Education","Medium";"Family","Medium";"Supporting","Low"},2,FALSE),"")</f>
        <v>0</v>
      </c>
      <c r="G36" s="22" t="s">
        <v>22</v>
      </c>
      <c r="H36" s="9" t="s">
        <v>22</v>
      </c>
    </row>
    <row r="37" spans="2:8" x14ac:dyDescent="0.25">
      <c r="B37" s="4">
        <v>32</v>
      </c>
      <c r="C37" s="19">
        <f>IF(AND('DOCUMENT CHECKLIST'!E37="Yes",'DOCUMENT CHECKLIST'!F37="Missing"),'DOCUMENT CHECKLIST'!C37,"")</f>
        <v>0</v>
      </c>
      <c r="D37" s="19">
        <f>IF(AND('DOCUMENT CHECKLIST'!E37="Yes",'DOCUMENT CHECKLIST'!F37="Missing"),'DOCUMENT CHECKLIST'!D37,"")</f>
        <v>0</v>
      </c>
      <c r="E37" s="19">
        <f>IF(AND('DOCUMENT CHECKLIST'!E37="Yes",'DOCUMENT CHECKLIST'!F37="Missing"),CHOOSE(MATCH('DOCUMENT CHECKLIST'!D37,{"Identity &amp; Civil","Immigration &amp; Pass","Employment","Income &amp; Financial","Education","Family","Supporting"},0),"Obtain from ICA/home country authority","Request from employer/HR/ICA portal","Request from employer/HR","Download from IRAS/CPF/Bank portals","Obtain from institution","Coordinate with family members","Prepare at your discretion"),"")</f>
        <v>0</v>
      </c>
      <c r="F37" s="12">
        <f>IF(AND('DOCUMENT CHECKLIST'!E37="Yes",'DOCUMENT CHECKLIST'!F37="Missing"),VLOOKUP('DOCUMENT CHECKLIST'!D37,{"Identity &amp; Civil","High";"Immigration &amp; Pass","High";"Employment","High";"Income &amp; Financial","High";"Education","Medium";"Family","Medium";"Supporting","Low"},2,FALSE),"")</f>
        <v>0</v>
      </c>
      <c r="G37" s="22" t="s">
        <v>22</v>
      </c>
      <c r="H37" s="9" t="s">
        <v>22</v>
      </c>
    </row>
    <row r="38" spans="2:8" x14ac:dyDescent="0.25">
      <c r="B38" s="4">
        <v>33</v>
      </c>
      <c r="C38" s="19">
        <f>IF(AND('DOCUMENT CHECKLIST'!E38="Yes",'DOCUMENT CHECKLIST'!F38="Missing"),'DOCUMENT CHECKLIST'!C38,"")</f>
        <v>0</v>
      </c>
      <c r="D38" s="19">
        <f>IF(AND('DOCUMENT CHECKLIST'!E38="Yes",'DOCUMENT CHECKLIST'!F38="Missing"),'DOCUMENT CHECKLIST'!D38,"")</f>
        <v>0</v>
      </c>
      <c r="E38" s="19">
        <f>IF(AND('DOCUMENT CHECKLIST'!E38="Yes",'DOCUMENT CHECKLIST'!F38="Missing"),CHOOSE(MATCH('DOCUMENT CHECKLIST'!D38,{"Identity &amp; Civil","Immigration &amp; Pass","Employment","Income &amp; Financial","Education","Family","Supporting"},0),"Obtain from ICA/home country authority","Request from employer/HR/ICA portal","Request from employer/HR","Download from IRAS/CPF/Bank portals","Obtain from institution","Coordinate with family members","Prepare at your discretion"),"")</f>
        <v>0</v>
      </c>
      <c r="F38" s="12">
        <f>IF(AND('DOCUMENT CHECKLIST'!E38="Yes",'DOCUMENT CHECKLIST'!F38="Missing"),VLOOKUP('DOCUMENT CHECKLIST'!D38,{"Identity &amp; Civil","High";"Immigration &amp; Pass","High";"Employment","High";"Income &amp; Financial","High";"Education","Medium";"Family","Medium";"Supporting","Low"},2,FALSE),"")</f>
        <v>0</v>
      </c>
      <c r="G38" s="22" t="s">
        <v>22</v>
      </c>
      <c r="H38" s="9" t="s">
        <v>22</v>
      </c>
    </row>
    <row r="39" spans="2:8" x14ac:dyDescent="0.25">
      <c r="B39" s="4">
        <v>34</v>
      </c>
      <c r="C39" s="19">
        <f>IF(AND('DOCUMENT CHECKLIST'!E39="Yes",'DOCUMENT CHECKLIST'!F39="Missing"),'DOCUMENT CHECKLIST'!C39,"")</f>
        <v>0</v>
      </c>
      <c r="D39" s="19">
        <f>IF(AND('DOCUMENT CHECKLIST'!E39="Yes",'DOCUMENT CHECKLIST'!F39="Missing"),'DOCUMENT CHECKLIST'!D39,"")</f>
        <v>0</v>
      </c>
      <c r="E39" s="19">
        <f>IF(AND('DOCUMENT CHECKLIST'!E39="Yes",'DOCUMENT CHECKLIST'!F39="Missing"),CHOOSE(MATCH('DOCUMENT CHECKLIST'!D39,{"Identity &amp; Civil","Immigration &amp; Pass","Employment","Income &amp; Financial","Education","Family","Supporting"},0),"Obtain from ICA/home country authority","Request from employer/HR/ICA portal","Request from employer/HR","Download from IRAS/CPF/Bank portals","Obtain from institution","Coordinate with family members","Prepare at your discretion"),"")</f>
        <v>0</v>
      </c>
      <c r="F39" s="12">
        <f>IF(AND('DOCUMENT CHECKLIST'!E39="Yes",'DOCUMENT CHECKLIST'!F39="Missing"),VLOOKUP('DOCUMENT CHECKLIST'!D39,{"Identity &amp; Civil","High";"Immigration &amp; Pass","High";"Employment","High";"Income &amp; Financial","High";"Education","Medium";"Family","Medium";"Supporting","Low"},2,FALSE),"")</f>
        <v>0</v>
      </c>
      <c r="G39" s="22" t="s">
        <v>22</v>
      </c>
      <c r="H39" s="9" t="s">
        <v>22</v>
      </c>
    </row>
    <row r="40" spans="2:8" x14ac:dyDescent="0.25">
      <c r="B40" s="4">
        <v>35</v>
      </c>
      <c r="C40" s="19">
        <f>IF(AND('DOCUMENT CHECKLIST'!E40="Yes",'DOCUMENT CHECKLIST'!F40="Missing"),'DOCUMENT CHECKLIST'!C40,"")</f>
        <v>0</v>
      </c>
      <c r="D40" s="19">
        <f>IF(AND('DOCUMENT CHECKLIST'!E40="Yes",'DOCUMENT CHECKLIST'!F40="Missing"),'DOCUMENT CHECKLIST'!D40,"")</f>
        <v>0</v>
      </c>
      <c r="E40" s="19">
        <f>IF(AND('DOCUMENT CHECKLIST'!E40="Yes",'DOCUMENT CHECKLIST'!F40="Missing"),CHOOSE(MATCH('DOCUMENT CHECKLIST'!D40,{"Identity &amp; Civil","Immigration &amp; Pass","Employment","Income &amp; Financial","Education","Family","Supporting"},0),"Obtain from ICA/home country authority","Request from employer/HR/ICA portal","Request from employer/HR","Download from IRAS/CPF/Bank portals","Obtain from institution","Coordinate with family members","Prepare at your discretion"),"")</f>
        <v>0</v>
      </c>
      <c r="F40" s="12">
        <f>IF(AND('DOCUMENT CHECKLIST'!E40="Yes",'DOCUMENT CHECKLIST'!F40="Missing"),VLOOKUP('DOCUMENT CHECKLIST'!D40,{"Identity &amp; Civil","High";"Immigration &amp; Pass","High";"Employment","High";"Income &amp; Financial","High";"Education","Medium";"Family","Medium";"Supporting","Low"},2,FALSE),"")</f>
        <v>0</v>
      </c>
      <c r="G40" s="22" t="s">
        <v>22</v>
      </c>
      <c r="H40" s="9" t="s">
        <v>22</v>
      </c>
    </row>
    <row r="41" spans="2:8" x14ac:dyDescent="0.25">
      <c r="B41" s="4">
        <v>36</v>
      </c>
      <c r="C41" s="19">
        <f>IF(AND('DOCUMENT CHECKLIST'!E41="Yes",'DOCUMENT CHECKLIST'!F41="Missing"),'DOCUMENT CHECKLIST'!C41,"")</f>
        <v>0</v>
      </c>
      <c r="D41" s="19">
        <f>IF(AND('DOCUMENT CHECKLIST'!E41="Yes",'DOCUMENT CHECKLIST'!F41="Missing"),'DOCUMENT CHECKLIST'!D41,"")</f>
        <v>0</v>
      </c>
      <c r="E41" s="19">
        <f>IF(AND('DOCUMENT CHECKLIST'!E41="Yes",'DOCUMENT CHECKLIST'!F41="Missing"),CHOOSE(MATCH('DOCUMENT CHECKLIST'!D41,{"Identity &amp; Civil","Immigration &amp; Pass","Employment","Income &amp; Financial","Education","Family","Supporting"},0),"Obtain from ICA/home country authority","Request from employer/HR/ICA portal","Request from employer/HR","Download from IRAS/CPF/Bank portals","Obtain from institution","Coordinate with family members","Prepare at your discretion"),"")</f>
        <v>0</v>
      </c>
      <c r="F41" s="12">
        <f>IF(AND('DOCUMENT CHECKLIST'!E41="Yes",'DOCUMENT CHECKLIST'!F41="Missing"),VLOOKUP('DOCUMENT CHECKLIST'!D41,{"Identity &amp; Civil","High";"Immigration &amp; Pass","High";"Employment","High";"Income &amp; Financial","High";"Education","Medium";"Family","Medium";"Supporting","Low"},2,FALSE),"")</f>
        <v>0</v>
      </c>
      <c r="G41" s="22" t="s">
        <v>22</v>
      </c>
      <c r="H41" s="9" t="s">
        <v>22</v>
      </c>
    </row>
    <row r="42" spans="2:8" x14ac:dyDescent="0.25">
      <c r="B42" s="4">
        <v>37</v>
      </c>
      <c r="C42" s="19">
        <f>IF(AND('DOCUMENT CHECKLIST'!E42="Yes",'DOCUMENT CHECKLIST'!F42="Missing"),'DOCUMENT CHECKLIST'!C42,"")</f>
        <v>0</v>
      </c>
      <c r="D42" s="19">
        <f>IF(AND('DOCUMENT CHECKLIST'!E42="Yes",'DOCUMENT CHECKLIST'!F42="Missing"),'DOCUMENT CHECKLIST'!D42,"")</f>
        <v>0</v>
      </c>
      <c r="E42" s="19">
        <f>IF(AND('DOCUMENT CHECKLIST'!E42="Yes",'DOCUMENT CHECKLIST'!F42="Missing"),CHOOSE(MATCH('DOCUMENT CHECKLIST'!D42,{"Identity &amp; Civil","Immigration &amp; Pass","Employment","Income &amp; Financial","Education","Family","Supporting"},0),"Obtain from ICA/home country authority","Request from employer/HR/ICA portal","Request from employer/HR","Download from IRAS/CPF/Bank portals","Obtain from institution","Coordinate with family members","Prepare at your discretion"),"")</f>
        <v>0</v>
      </c>
      <c r="F42" s="12">
        <f>IF(AND('DOCUMENT CHECKLIST'!E42="Yes",'DOCUMENT CHECKLIST'!F42="Missing"),VLOOKUP('DOCUMENT CHECKLIST'!D42,{"Identity &amp; Civil","High";"Immigration &amp; Pass","High";"Employment","High";"Income &amp; Financial","High";"Education","Medium";"Family","Medium";"Supporting","Low"},2,FALSE),"")</f>
        <v>0</v>
      </c>
      <c r="G42" s="22" t="s">
        <v>22</v>
      </c>
      <c r="H42" s="9" t="s">
        <v>22</v>
      </c>
    </row>
    <row r="43" spans="2:8" x14ac:dyDescent="0.25">
      <c r="B43" s="4">
        <v>38</v>
      </c>
      <c r="C43" s="19">
        <f>IF(AND('DOCUMENT CHECKLIST'!E43="Yes",'DOCUMENT CHECKLIST'!F43="Missing"),'DOCUMENT CHECKLIST'!C43,"")</f>
        <v>0</v>
      </c>
      <c r="D43" s="19">
        <f>IF(AND('DOCUMENT CHECKLIST'!E43="Yes",'DOCUMENT CHECKLIST'!F43="Missing"),'DOCUMENT CHECKLIST'!D43,"")</f>
        <v>0</v>
      </c>
      <c r="E43" s="19">
        <f>IF(AND('DOCUMENT CHECKLIST'!E43="Yes",'DOCUMENT CHECKLIST'!F43="Missing"),CHOOSE(MATCH('DOCUMENT CHECKLIST'!D43,{"Identity &amp; Civil","Immigration &amp; Pass","Employment","Income &amp; Financial","Education","Family","Supporting"},0),"Obtain from ICA/home country authority","Request from employer/HR/ICA portal","Request from employer/HR","Download from IRAS/CPF/Bank portals","Obtain from institution","Coordinate with family members","Prepare at your discretion"),"")</f>
        <v>0</v>
      </c>
      <c r="F43" s="12">
        <f>IF(AND('DOCUMENT CHECKLIST'!E43="Yes",'DOCUMENT CHECKLIST'!F43="Missing"),VLOOKUP('DOCUMENT CHECKLIST'!D43,{"Identity &amp; Civil","High";"Immigration &amp; Pass","High";"Employment","High";"Income &amp; Financial","High";"Education","Medium";"Family","Medium";"Supporting","Low"},2,FALSE),"")</f>
        <v>0</v>
      </c>
      <c r="G43" s="22" t="s">
        <v>22</v>
      </c>
      <c r="H43" s="9" t="s">
        <v>22</v>
      </c>
    </row>
    <row r="44" spans="2:8" x14ac:dyDescent="0.25">
      <c r="B44" s="4">
        <v>39</v>
      </c>
      <c r="C44" s="19">
        <f>IF(AND('DOCUMENT CHECKLIST'!E44="Yes",'DOCUMENT CHECKLIST'!F44="Missing"),'DOCUMENT CHECKLIST'!C44,"")</f>
        <v>0</v>
      </c>
      <c r="D44" s="19">
        <f>IF(AND('DOCUMENT CHECKLIST'!E44="Yes",'DOCUMENT CHECKLIST'!F44="Missing"),'DOCUMENT CHECKLIST'!D44,"")</f>
        <v>0</v>
      </c>
      <c r="E44" s="19">
        <f>IF(AND('DOCUMENT CHECKLIST'!E44="Yes",'DOCUMENT CHECKLIST'!F44="Missing"),CHOOSE(MATCH('DOCUMENT CHECKLIST'!D44,{"Identity &amp; Civil","Immigration &amp; Pass","Employment","Income &amp; Financial","Education","Family","Supporting"},0),"Obtain from ICA/home country authority","Request from employer/HR/ICA portal","Request from employer/HR","Download from IRAS/CPF/Bank portals","Obtain from institution","Coordinate with family members","Prepare at your discretion"),"")</f>
        <v>0</v>
      </c>
      <c r="F44" s="12">
        <f>IF(AND('DOCUMENT CHECKLIST'!E44="Yes",'DOCUMENT CHECKLIST'!F44="Missing"),VLOOKUP('DOCUMENT CHECKLIST'!D44,{"Identity &amp; Civil","High";"Immigration &amp; Pass","High";"Employment","High";"Income &amp; Financial","High";"Education","Medium";"Family","Medium";"Supporting","Low"},2,FALSE),"")</f>
        <v>0</v>
      </c>
      <c r="G44" s="22" t="s">
        <v>22</v>
      </c>
      <c r="H44" s="9" t="s">
        <v>22</v>
      </c>
    </row>
    <row r="45" spans="2:8" x14ac:dyDescent="0.25">
      <c r="B45" s="4">
        <v>40</v>
      </c>
      <c r="C45" s="19">
        <f>IF(AND('DOCUMENT CHECKLIST'!E45="Yes",'DOCUMENT CHECKLIST'!F45="Missing"),'DOCUMENT CHECKLIST'!C45,"")</f>
        <v>0</v>
      </c>
      <c r="D45" s="19">
        <f>IF(AND('DOCUMENT CHECKLIST'!E45="Yes",'DOCUMENT CHECKLIST'!F45="Missing"),'DOCUMENT CHECKLIST'!D45,"")</f>
        <v>0</v>
      </c>
      <c r="E45" s="19">
        <f>IF(AND('DOCUMENT CHECKLIST'!E45="Yes",'DOCUMENT CHECKLIST'!F45="Missing"),CHOOSE(MATCH('DOCUMENT CHECKLIST'!D45,{"Identity &amp; Civil","Immigration &amp; Pass","Employment","Income &amp; Financial","Education","Family","Supporting"},0),"Obtain from ICA/home country authority","Request from employer/HR/ICA portal","Request from employer/HR","Download from IRAS/CPF/Bank portals","Obtain from institution","Coordinate with family members","Prepare at your discretion"),"")</f>
        <v>0</v>
      </c>
      <c r="F45" s="12">
        <f>IF(AND('DOCUMENT CHECKLIST'!E45="Yes",'DOCUMENT CHECKLIST'!F45="Missing"),VLOOKUP('DOCUMENT CHECKLIST'!D45,{"Identity &amp; Civil","High";"Immigration &amp; Pass","High";"Employment","High";"Income &amp; Financial","High";"Education","Medium";"Family","Medium";"Supporting","Low"},2,FALSE),"")</f>
        <v>0</v>
      </c>
      <c r="G45" s="22" t="s">
        <v>22</v>
      </c>
      <c r="H45" s="9" t="s">
        <v>22</v>
      </c>
    </row>
    <row r="58" spans="2:2" x14ac:dyDescent="0.25">
      <c r="B58" s="7" t="s">
        <v>133</v>
      </c>
    </row>
    <row r="59" spans="2:3" x14ac:dyDescent="0.25">
      <c r="B59" s="4" t="s">
        <v>134</v>
      </c>
      <c r="C59" s="16">
        <f>COUNTIF(F6:F55,"High")</f>
        <v>0</v>
      </c>
    </row>
    <row r="60" spans="2:3" x14ac:dyDescent="0.25">
      <c r="B60" s="4" t="s">
        <v>135</v>
      </c>
      <c r="C60" s="23">
        <f>COUNTIF(F6:F55,"Medium")</f>
        <v>0</v>
      </c>
    </row>
    <row r="61" spans="2:3" x14ac:dyDescent="0.25">
      <c r="B61" s="4" t="s">
        <v>136</v>
      </c>
      <c r="C61" s="15">
        <f>COUNTIF(F6:F55,"Low")</f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START HERE</vt:lpstr>
      <vt:lpstr>PROFILE</vt:lpstr>
      <vt:lpstr>DOCUMENT CHECKLIST</vt:lpstr>
      <vt:lpstr>READINESS SCORE</vt:lpstr>
      <vt:lpstr>ACTION PLAN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SGEventsHub</dc:creator>
  <dc:title/>
  <dc:subject/>
  <dc:description/>
  <cp:keywords/>
  <cp:category/>
  <cp:lastModifiedBy>Unknown</cp:lastModifiedBy>
  <dcterms:created xsi:type="dcterms:W3CDTF">2026-09-08T04:52:00Z</dcterms:created>
  <dcterms:modified xsi:type="dcterms:W3CDTF">2026-09-08T04:52:00Z</dcterms:modified>
</cp:coreProperties>
</file>