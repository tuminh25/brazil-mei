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ART HERE" sheetId="1" r:id="rId1"/>
    <sheet name="ASSUMPTIONS" sheetId="2" r:id="rId2"/>
    <sheet name="INPUTS" sheetId="3" r:id="rId3"/>
    <sheet name="COMPLIANCE" sheetId="4" r:id="rId4"/>
    <sheet name="RESULT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7"/>
  <sheetViews>
    <sheetView workbookViewId="0"/>
  </sheetViews>
  <cols>
    <col min="1" max="1" width="26.83203125" customWidth="1"/>
    <col min="2" max="2" width="108.83203125" customWidth="1"/>
  </cols>
  <sheetData>
    <row r="2">
      <c r="B2" t="str">
        <v>HDB Renovation Budget &amp; Compliance Planner</v>
      </c>
    </row>
    <row r="3">
      <c r="B3" t="str">
        <v>2026 Edition — cost planning, contingency and HDB compliance in one workbook</v>
      </c>
    </row>
    <row r="5">
      <c r="B5" t="str">
        <v>THE PROBLEM</v>
      </c>
    </row>
    <row r="6">
      <c r="B6" t="str">
        <v>The guide gives cost ranges, but turning them into a practical plan for YOUR flat still requires calculations: how much each work category costs, what total to budget, what contingency to hold, and whether planned works violate HDB rules. This workbook turns the ranges into numbers you can plan against.</v>
      </c>
    </row>
    <row r="8">
      <c r="B8" t="str">
        <v>WHAT THIS WORKBOOK DOES</v>
      </c>
    </row>
    <row r="9">
      <c r="B9" t="str">
        <v>• INPUTS — choose flat type (3/4/5-room), property type (BTO vs resale) and scope (Light/Moderate/Extensive); add your own quote or rely on auto-estimates per category.</v>
      </c>
    </row>
    <row r="10">
      <c r="B10" t="str">
        <v>• COMPLIANCE — flags potential HDB restrictions (registered contractor, permits, BTO toilet-hacking rule, deadlines) with OK / CHECK / WARNING and source notes.</v>
      </c>
    </row>
    <row r="11">
      <c r="B11" t="str">
        <v>• RESULTS — dashboard of budget range, contingency, total, cost category split, cash reserve and compliance warnings.</v>
      </c>
    </row>
    <row r="14">
      <c r="B14" t="str">
        <v>HOW TO USE — 3 STEPS</v>
      </c>
    </row>
    <row r="15">
      <c r="B15" t="str">
        <v>STEP 1 · Go to INPUTS. Set flat type, property type and scope. Leave "Your quote" blank to use auto-estimates, or type real quotes.</v>
      </c>
    </row>
    <row r="16">
      <c r="B16" t="str">
        <v>STEP 2 · Adjust the contingency rate on INPUTS to match your risk (10–15% recommended).</v>
      </c>
    </row>
    <row r="17">
      <c r="B17" t="str">
        <v>STEP 3 · Check COMPLIANCE, then read your plan on RESULTS. Resolve any WARNING items before engaging a contractor.</v>
      </c>
    </row>
    <row r="19">
      <c r="B19" t="str">
        <v>WHAT IS ESTIMATED vs OFFICIAL</v>
      </c>
    </row>
    <row r="20">
      <c r="B20" t="str">
        <v>• Auto cost estimates are research-based market ranges — NOT contractor quotations.</v>
      </c>
    </row>
    <row r="21">
      <c r="B21" t="str">
        <v>• Contingency, payment and cash figures are your planning assumptions.</v>
      </c>
    </row>
    <row r="22">
      <c r="B22" t="str">
        <v>• HDB compliance rules come from HDB guidance. Confirm current rules on the HDB portal before starting works.</v>
      </c>
    </row>
    <row r="24">
      <c r="B24" t="str">
        <v>LIMITATIONS &amp; DISCLAIMER</v>
      </c>
    </row>
    <row r="25">
      <c r="B25" t="str">
        <v>This tool provides planning estimates only — not a quotation, not financial or legal advice, and no guarantee of approval. Prices and HDB rules change; verify before committing.</v>
      </c>
    </row>
    <row r="27">
      <c r="B27" t="str">
        <v>Yellow = editable input · Green = auto-calculated · Do not type into green cells.</v>
      </c>
    </row>
  </sheetData>
  <ignoredErrors>
    <ignoredError numberStoredAsText="1" sqref="A1:B27"/>
  </ignoredErrors>
</worksheet>
</file>

<file path=xl/worksheets/sheet2.xml><?xml version="1.0" encoding="utf-8"?>
<worksheet xmlns="http://schemas.openxmlformats.org/spreadsheetml/2006/main" xmlns:r="http://schemas.openxmlformats.org/officeDocument/2006/relationships">
  <dimension ref="A1:E33"/>
  <sheetViews>
    <sheetView workbookViewId="0"/>
  </sheetViews>
  <cols>
    <col min="1" max="1" width="30.83203125" customWidth="1"/>
    <col min="2" max="2" width="30.83203125" customWidth="1"/>
    <col min="3" max="3" width="14.83203125" customWidth="1"/>
    <col min="4" max="4" width="14.83203125" customWidth="1"/>
    <col min="5" max="5" width="64.83203125" customWidth="1"/>
  </cols>
  <sheetData>
    <row r="1">
      <c r="A1" t="str">
        <v>source</v>
      </c>
    </row>
    <row r="2">
      <c r="B2" t="str">
        <v>COST ASSUMPTIONS &amp; FACTORS</v>
      </c>
    </row>
    <row r="3">
      <c r="B3" t="str">
        <v>Developer-editable. Research-based market estimates, not official costs. Refresh here without rebuilding.</v>
      </c>
    </row>
    <row r="5">
      <c r="B5" t="str">
        <v>BASELINE CATEGORY ESTIMATE · 4-room RESALE · MODERATE scope</v>
      </c>
    </row>
    <row r="6">
      <c r="B6" t="str">
        <v>Category</v>
      </c>
      <c r="C6" t="str">
        <v>Low (S$)</v>
      </c>
      <c r="D6" t="str">
        <v>High (S$)</v>
      </c>
      <c r="E6" t="str">
        <v>Source / note</v>
      </c>
    </row>
    <row r="7">
      <c r="B7" t="str">
        <v>kitchen</v>
      </c>
      <c r="C7">
        <v>8900</v>
      </c>
      <c r="D7">
        <v>23200</v>
      </c>
      <c r="E7" t="str">
        <v>Article: mid-range kitchen w/ cabinetry, hob, hood, tiling</v>
      </c>
    </row>
    <row r="8">
      <c r="B8" t="str">
        <v>bathroom</v>
      </c>
      <c r="C8">
        <v>2600</v>
      </c>
      <c r="D8">
        <v>5200</v>
      </c>
      <c r="E8" t="str">
        <v>Article: S$1,300-2,600/bathroom, ~2 bathrooms</v>
      </c>
    </row>
    <row r="9">
      <c r="B9" t="str">
        <v>flooring</v>
      </c>
      <c r="C9">
        <v>5000</v>
      </c>
      <c r="D9">
        <v>12000</v>
      </c>
      <c r="E9" t="str">
        <v>Market estimate: tiling/laminate whole flat</v>
      </c>
    </row>
    <row r="10">
      <c r="B10" t="str">
        <v>painting</v>
      </c>
      <c r="C10">
        <v>2500</v>
      </c>
      <c r="D10">
        <v>6000</v>
      </c>
      <c r="E10" t="str">
        <v>Market estimate incl. prep &amp; paint</v>
      </c>
    </row>
    <row r="11">
      <c r="B11" t="str">
        <v>carpentry</v>
      </c>
      <c r="C11">
        <v>6000</v>
      </c>
      <c r="D11">
        <v>15000</v>
      </c>
      <c r="E11" t="str">
        <v>Article built-in wardrobes &amp; custom carpentry</v>
      </c>
    </row>
    <row r="12">
      <c r="B12" t="str">
        <v>electrical</v>
      </c>
      <c r="C12">
        <v>3000</v>
      </c>
      <c r="D12">
        <v>6000</v>
      </c>
      <c r="E12" t="str">
        <v>Article: rewiring ~S$3,000 + power/lighting</v>
      </c>
    </row>
    <row r="13">
      <c r="B13" t="str">
        <v>hacking</v>
      </c>
      <c r="C13">
        <v>2000</v>
      </c>
      <c r="D13">
        <v>6000</v>
      </c>
      <c r="E13" t="str">
        <v>Market estimate; escalates for resale / heavy works</v>
      </c>
    </row>
    <row r="14">
      <c r="B14" t="str">
        <v>builtin</v>
      </c>
      <c r="C14">
        <v>6000</v>
      </c>
      <c r="D14">
        <v>15000</v>
      </c>
      <c r="E14" t="str">
        <v>Custom cabinets, wall units, features</v>
      </c>
    </row>
    <row r="15">
      <c r="B15" t="str">
        <v>appliances</v>
      </c>
      <c r="C15">
        <v>3000</v>
      </c>
      <c r="D15">
        <v>10000</v>
      </c>
      <c r="E15" t="str">
        <v>Hob, hood, washer etc. if not in quote</v>
      </c>
    </row>
    <row r="16">
      <c r="B16" t="str">
        <v>userdefined</v>
      </c>
      <c r="C16">
        <v>0</v>
      </c>
      <c r="D16">
        <v>0</v>
      </c>
      <c r="E16" t="str">
        <v>Enter your own known line items</v>
      </c>
    </row>
    <row r="18">
      <c r="B18" t="str">
        <v>PROPERTY FACTOR (multiplies baseline)</v>
      </c>
    </row>
    <row r="19">
      <c r="B19" t="str">
        <v>Property</v>
      </c>
      <c r="C19" t="str">
        <v>Factor</v>
      </c>
      <c r="D19" t="str">
        <v>Note</v>
      </c>
    </row>
    <row r="20">
      <c r="B20" t="str">
        <v>BTO (new)</v>
      </c>
      <c r="C20">
        <v>0.82</v>
      </c>
      <c r="D20" t="str">
        <v>BTO ~15-25% cheaper</v>
      </c>
    </row>
    <row r="21">
      <c r="B21" t="str">
        <v>Resale</v>
      </c>
      <c r="C21">
        <v>1</v>
      </c>
      <c r="D21" t="str">
        <v>Baseline</v>
      </c>
    </row>
    <row r="23">
      <c r="B23" t="str">
        <v>SCOPE FACTOR</v>
      </c>
    </row>
    <row r="24">
      <c r="B24" t="str">
        <v>Scope</v>
      </c>
      <c r="C24" t="str">
        <v>Factor</v>
      </c>
      <c r="D24" t="str">
        <v>Note</v>
      </c>
    </row>
    <row r="25">
      <c r="B25" t="str">
        <v>Light</v>
      </c>
      <c r="C25">
        <v>0.7</v>
      </c>
      <c r="D25" t="str">
        <v>Cosmetic</v>
      </c>
    </row>
    <row r="26">
      <c r="B26" t="str">
        <v>Moderate</v>
      </c>
      <c r="C26">
        <v>1</v>
      </c>
      <c r="D26" t="str">
        <v>Baseline</v>
      </c>
    </row>
    <row r="27">
      <c r="B27" t="str">
        <v>Extensive</v>
      </c>
      <c r="C27">
        <v>1.4</v>
      </c>
      <c r="D27" t="str">
        <v>Full transform</v>
      </c>
    </row>
    <row r="29">
      <c r="B29" t="str">
        <v>FLAT SIZE FACTOR</v>
      </c>
    </row>
    <row r="30">
      <c r="B30" t="str">
        <v>Flat</v>
      </c>
      <c r="C30" t="str">
        <v>Factor</v>
      </c>
      <c r="D30" t="str">
        <v>Note</v>
      </c>
    </row>
    <row r="31">
      <c r="B31" t="str">
        <v>3-room</v>
      </c>
      <c r="C31">
        <v>0.82</v>
      </c>
      <c r="D31" t="str">
        <v>3r approx</v>
      </c>
    </row>
    <row r="32">
      <c r="B32" t="str">
        <v>4-room</v>
      </c>
      <c r="C32">
        <v>1</v>
      </c>
      <c r="D32" t="str">
        <v>Baseline</v>
      </c>
    </row>
    <row r="33">
      <c r="B33" t="str">
        <v>5-room</v>
      </c>
      <c r="C33">
        <v>1.25</v>
      </c>
      <c r="D33" t="str">
        <v>5r approx</v>
      </c>
    </row>
  </sheetData>
  <ignoredErrors>
    <ignoredError numberStoredAsText="1" sqref="A1:E33"/>
  </ignoredErrors>
</worksheet>
</file>

<file path=xl/worksheets/sheet3.xml><?xml version="1.0" encoding="utf-8"?>
<worksheet xmlns="http://schemas.openxmlformats.org/spreadsheetml/2006/main" xmlns:r="http://schemas.openxmlformats.org/officeDocument/2006/relationships">
  <dimension ref="A1:G45"/>
  <sheetViews>
    <sheetView workbookViewId="0"/>
  </sheetViews>
  <cols>
    <col min="1" max="1" width="36.83203125" customWidth="1"/>
    <col min="2" max="2" width="32.83203125" customWidth="1"/>
    <col min="3" max="3" width="16.83203125" customWidth="1"/>
    <col min="4" max="4" width="16.83203125" customWidth="1"/>
    <col min="5" max="5" width="24.83203125" customWidth="1"/>
    <col min="6" max="6" width="16.83203125" customWidth="1"/>
    <col min="7" max="7" width="16.83203125" customWidth="1"/>
  </cols>
  <sheetData>
    <row r="2">
      <c r="B2" t="str">
        <v>STEP 1 · YOUR FLAT, SCOPE &amp; COSTS</v>
      </c>
    </row>
    <row r="3">
      <c r="B3" t="str">
        <v>Edit ONLY the yellow cells. Leave "Your quote" blank to use auto-estimates.</v>
      </c>
    </row>
    <row r="5">
      <c r="B5" t="str">
        <v>YOUR FLAT &amp; SCOPE</v>
      </c>
    </row>
    <row r="6">
      <c r="B6" t="str">
        <v>Flat type</v>
      </c>
      <c r="C6" t="str">
        <v>4-room</v>
      </c>
    </row>
    <row r="7">
      <c r="B7" t="str">
        <v>Property type</v>
      </c>
      <c r="C7" t="str">
        <v>Resale</v>
      </c>
    </row>
    <row r="8">
      <c r="B8" t="str">
        <v>Approx floor area (sqm)</v>
      </c>
      <c r="C8">
        <v>90</v>
      </c>
    </row>
    <row r="9">
      <c r="B9" t="str">
        <v>Renovation scope</v>
      </c>
      <c r="C9" t="str">
        <v>Moderate</v>
      </c>
    </row>
    <row r="11">
      <c r="B11" t="str">
        <v>ESTIMATES &amp; QUOTES BY CATEGORY</v>
      </c>
    </row>
    <row r="12">
      <c r="B12" t="str">
        <v>Work category</v>
      </c>
      <c r="C12" t="str">
        <v>Low est (auto)</v>
      </c>
      <c r="D12" t="str">
        <v>High est (auto)</v>
      </c>
      <c r="E12" t="str">
        <v>Your quote (blank = auto)</v>
      </c>
      <c r="F12" t="str">
        <v>Low used</v>
      </c>
      <c r="G12" t="str">
        <v>High used</v>
      </c>
    </row>
    <row r="13">
      <c r="B13" t="str">
        <v>Kitchen renovation</v>
      </c>
      <c r="C13">
        <f>ROUND(ASSUMPTIONS!C7*IF($C$7="BTO",ASSUMPTIONS!C20,ASSUMPTIONS!C21)*IF($C$9="Light",ASSUMPTIONS!C25,IF($C$9="Extensive",ASSUMPTIONS!C27,ASSUMPTIONS!C26))*IF($C$6="3-room",ASSUMPTIONS!C31,IF($C$6="5-room",ASSUMPTIONS!C33,ASSUMPTIONS!C32)),0)</f>
        <v>0</v>
      </c>
      <c r="D13">
        <f>ROUND(ASSUMPTIONS!D7*IF($C$7="BTO",ASSUMPTIONS!C20,ASSUMPTIONS!C21)*IF($C$9="Light",ASSUMPTIONS!C25,IF($C$9="Extensive",ASSUMPTIONS!C27,ASSUMPTIONS!C26))*IF($C$6="3-room",ASSUMPTIONS!C31,IF($C$6="5-room",ASSUMPTIONS!C33,ASSUMPTIONS!C32)),0)</f>
        <v>0</v>
      </c>
      <c r="E13" t="str">
        <v/>
      </c>
      <c r="F13">
        <f>IF($E13="",C13,$E13)</f>
        <v>0</v>
      </c>
      <c r="G13">
        <f>IF($E13="",D13,$E13)</f>
        <v>0</v>
      </c>
    </row>
    <row r="14">
      <c r="B14" t="str">
        <v>Bathroom renovation</v>
      </c>
      <c r="C14">
        <f>ROUND(ASSUMPTIONS!C8*IF($C$7="BTO",ASSUMPTIONS!C20,ASSUMPTIONS!C21)*IF($C$9="Light",ASSUMPTIONS!C25,IF($C$9="Extensive",ASSUMPTIONS!C27,ASSUMPTIONS!C26))*IF($C$6="3-room",ASSUMPTIONS!C31,IF($C$6="5-room",ASSUMPTIONS!C33,ASSUMPTIONS!C32)),0)</f>
        <v>0</v>
      </c>
      <c r="D14">
        <f>ROUND(ASSUMPTIONS!D8*IF($C$7="BTO",ASSUMPTIONS!C20,ASSUMPTIONS!C21)*IF($C$9="Light",ASSUMPTIONS!C25,IF($C$9="Extensive",ASSUMPTIONS!C27,ASSUMPTIONS!C26))*IF($C$6="3-room",ASSUMPTIONS!C31,IF($C$6="5-room",ASSUMPTIONS!C33,ASSUMPTIONS!C32)),0)</f>
        <v>0</v>
      </c>
      <c r="E14" t="str">
        <v/>
      </c>
      <c r="F14">
        <f>IF($E14="",C14,$E14)</f>
        <v>0</v>
      </c>
      <c r="G14">
        <f>IF($E14="",D14,$E14)</f>
        <v>0</v>
      </c>
    </row>
    <row r="15">
      <c r="B15" t="str">
        <v>Flooring</v>
      </c>
      <c r="C15">
        <f>ROUND(ASSUMPTIONS!C9*IF($C$7="BTO",ASSUMPTIONS!C20,ASSUMPTIONS!C21)*IF($C$9="Light",ASSUMPTIONS!C25,IF($C$9="Extensive",ASSUMPTIONS!C27,ASSUMPTIONS!C26))*IF($C$6="3-room",ASSUMPTIONS!C31,IF($C$6="5-room",ASSUMPTIONS!C33,ASSUMPTIONS!C32)),0)</f>
        <v>0</v>
      </c>
      <c r="D15">
        <f>ROUND(ASSUMPTIONS!D9*IF($C$7="BTO",ASSUMPTIONS!C20,ASSUMPTIONS!C21)*IF($C$9="Light",ASSUMPTIONS!C25,IF($C$9="Extensive",ASSUMPTIONS!C27,ASSUMPTIONS!C26))*IF($C$6="3-room",ASSUMPTIONS!C31,IF($C$6="5-room",ASSUMPTIONS!C33,ASSUMPTIONS!C32)),0)</f>
        <v>0</v>
      </c>
      <c r="E15" t="str">
        <v/>
      </c>
      <c r="F15">
        <f>IF($E15="",C15,$E15)</f>
        <v>0</v>
      </c>
      <c r="G15">
        <f>IF($E15="",D15,$E15)</f>
        <v>0</v>
      </c>
    </row>
    <row r="16">
      <c r="B16" t="str">
        <v>Painting</v>
      </c>
      <c r="C16">
        <f>ROUND(ASSUMPTIONS!C10*IF($C$7="BTO",ASSUMPTIONS!C20,ASSUMPTIONS!C21)*IF($C$9="Light",ASSUMPTIONS!C25,IF($C$9="Extensive",ASSUMPTIONS!C27,ASSUMPTIONS!C26))*IF($C$6="3-room",ASSUMPTIONS!C31,IF($C$6="5-room",ASSUMPTIONS!C33,ASSUMPTIONS!C32)),0)</f>
        <v>0</v>
      </c>
      <c r="D16">
        <f>ROUND(ASSUMPTIONS!D10*IF($C$7="BTO",ASSUMPTIONS!C20,ASSUMPTIONS!C21)*IF($C$9="Light",ASSUMPTIONS!C25,IF($C$9="Extensive",ASSUMPTIONS!C27,ASSUMPTIONS!C26))*IF($C$6="3-room",ASSUMPTIONS!C31,IF($C$6="5-room",ASSUMPTIONS!C33,ASSUMPTIONS!C32)),0)</f>
        <v>0</v>
      </c>
      <c r="E16" t="str">
        <v/>
      </c>
      <c r="F16">
        <f>IF($E16="",C16,$E16)</f>
        <v>0</v>
      </c>
      <c r="G16">
        <f>IF($E16="",D16,$E16)</f>
        <v>0</v>
      </c>
    </row>
    <row r="17">
      <c r="B17" t="str">
        <v>Carpentry</v>
      </c>
      <c r="C17">
        <f>ROUND(ASSUMPTIONS!C11*IF($C$7="BTO",ASSUMPTIONS!C20,ASSUMPTIONS!C21)*IF($C$9="Light",ASSUMPTIONS!C25,IF($C$9="Extensive",ASSUMPTIONS!C27,ASSUMPTIONS!C26))*IF($C$6="3-room",ASSUMPTIONS!C31,IF($C$6="5-room",ASSUMPTIONS!C33,ASSUMPTIONS!C32)),0)</f>
        <v>0</v>
      </c>
      <c r="D17">
        <f>ROUND(ASSUMPTIONS!D11*IF($C$7="BTO",ASSUMPTIONS!C20,ASSUMPTIONS!C21)*IF($C$9="Light",ASSUMPTIONS!C25,IF($C$9="Extensive",ASSUMPTIONS!C27,ASSUMPTIONS!C26))*IF($C$6="3-room",ASSUMPTIONS!C31,IF($C$6="5-room",ASSUMPTIONS!C33,ASSUMPTIONS!C32)),0)</f>
        <v>0</v>
      </c>
      <c r="E17" t="str">
        <v/>
      </c>
      <c r="F17">
        <f>IF($E17="",C17,$E17)</f>
        <v>0</v>
      </c>
      <c r="G17">
        <f>IF($E17="",D17,$E17)</f>
        <v>0</v>
      </c>
    </row>
    <row r="18">
      <c r="B18" t="str">
        <v>Electrical</v>
      </c>
      <c r="C18">
        <f>ROUND(ASSUMPTIONS!C12*IF($C$7="BTO",ASSUMPTIONS!C20,ASSUMPTIONS!C21)*IF($C$9="Light",ASSUMPTIONS!C25,IF($C$9="Extensive",ASSUMPTIONS!C27,ASSUMPTIONS!C26))*IF($C$6="3-room",ASSUMPTIONS!C31,IF($C$6="5-room",ASSUMPTIONS!C33,ASSUMPTIONS!C32)),0)</f>
        <v>0</v>
      </c>
      <c r="D18">
        <f>ROUND(ASSUMPTIONS!D12*IF($C$7="BTO",ASSUMPTIONS!C20,ASSUMPTIONS!C21)*IF($C$9="Light",ASSUMPTIONS!C25,IF($C$9="Extensive",ASSUMPTIONS!C27,ASSUMPTIONS!C26))*IF($C$6="3-room",ASSUMPTIONS!C31,IF($C$6="5-room",ASSUMPTIONS!C33,ASSUMPTIONS!C32)),0)</f>
        <v>0</v>
      </c>
      <c r="E18" t="str">
        <v/>
      </c>
      <c r="F18">
        <f>IF($E18="",C18,$E18)</f>
        <v>0</v>
      </c>
      <c r="G18">
        <f>IF($E18="",D18,$E18)</f>
        <v>0</v>
      </c>
    </row>
    <row r="19">
      <c r="B19" t="str">
        <v>Hacking</v>
      </c>
      <c r="C19">
        <f>ROUND(ASSUMPTIONS!C13*IF($C$7="BTO",ASSUMPTIONS!C20,ASSUMPTIONS!C21)*IF($C$9="Light",ASSUMPTIONS!C25,IF($C$9="Extensive",ASSUMPTIONS!C27,ASSUMPTIONS!C26))*IF($C$6="3-room",ASSUMPTIONS!C31,IF($C$6="5-room",ASSUMPTIONS!C33,ASSUMPTIONS!C32)),0)</f>
        <v>0</v>
      </c>
      <c r="D19">
        <f>ROUND(ASSUMPTIONS!D13*IF($C$7="BTO",ASSUMPTIONS!C20,ASSUMPTIONS!C21)*IF($C$9="Light",ASSUMPTIONS!C25,IF($C$9="Extensive",ASSUMPTIONS!C27,ASSUMPTIONS!C26))*IF($C$6="3-room",ASSUMPTIONS!C31,IF($C$6="5-room",ASSUMPTIONS!C33,ASSUMPTIONS!C32)),0)</f>
        <v>0</v>
      </c>
      <c r="E19" t="str">
        <v/>
      </c>
      <c r="F19">
        <f>IF($E19="",C19,$E19)</f>
        <v>0</v>
      </c>
      <c r="G19">
        <f>IF($E19="",D19,$E19)</f>
        <v>0</v>
      </c>
    </row>
    <row r="20">
      <c r="B20" t="str">
        <v>Built-in furniture</v>
      </c>
      <c r="C20">
        <f>ROUND(ASSUMPTIONS!C14*IF($C$7="BTO",ASSUMPTIONS!C20,ASSUMPTIONS!C21)*IF($C$9="Light",ASSUMPTIONS!C25,IF($C$9="Extensive",ASSUMPTIONS!C27,ASSUMPTIONS!C26))*IF($C$6="3-room",ASSUMPTIONS!C31,IF($C$6="5-room",ASSUMPTIONS!C33,ASSUMPTIONS!C32)),0)</f>
        <v>0</v>
      </c>
      <c r="D20">
        <f>ROUND(ASSUMPTIONS!D14*IF($C$7="BTO",ASSUMPTIONS!C20,ASSUMPTIONS!C21)*IF($C$9="Light",ASSUMPTIONS!C25,IF($C$9="Extensive",ASSUMPTIONS!C27,ASSUMPTIONS!C26))*IF($C$6="3-room",ASSUMPTIONS!C31,IF($C$6="5-room",ASSUMPTIONS!C33,ASSUMPTIONS!C32)),0)</f>
        <v>0</v>
      </c>
      <c r="E20" t="str">
        <v/>
      </c>
      <c r="F20">
        <f>IF($E20="",C20,$E20)</f>
        <v>0</v>
      </c>
      <c r="G20">
        <f>IF($E20="",D20,$E20)</f>
        <v>0</v>
      </c>
    </row>
    <row r="21">
      <c r="B21" t="str">
        <v>Appliances / optional items</v>
      </c>
      <c r="C21">
        <f>ROUND(ASSUMPTIONS!C15*IF($C$7="BTO",ASSUMPTIONS!C20,ASSUMPTIONS!C21)*IF($C$9="Light",ASSUMPTIONS!C25,IF($C$9="Extensive",ASSUMPTIONS!C27,ASSUMPTIONS!C26))*IF($C$6="3-room",ASSUMPTIONS!C31,IF($C$6="5-room",ASSUMPTIONS!C33,ASSUMPTIONS!C32)),0)</f>
        <v>0</v>
      </c>
      <c r="D21">
        <f>ROUND(ASSUMPTIONS!D15*IF($C$7="BTO",ASSUMPTIONS!C20,ASSUMPTIONS!C21)*IF($C$9="Light",ASSUMPTIONS!C25,IF($C$9="Extensive",ASSUMPTIONS!C27,ASSUMPTIONS!C26))*IF($C$6="3-room",ASSUMPTIONS!C31,IF($C$6="5-room",ASSUMPTIONS!C33,ASSUMPTIONS!C32)),0)</f>
        <v>0</v>
      </c>
      <c r="E21" t="str">
        <v/>
      </c>
      <c r="F21">
        <f>IF($E21="",C21,$E21)</f>
        <v>0</v>
      </c>
      <c r="G21">
        <f>IF($E21="",D21,$E21)</f>
        <v>0</v>
      </c>
    </row>
    <row r="22">
      <c r="B22" t="str">
        <v>User-defined costs</v>
      </c>
      <c r="C22">
        <f>ROUND(ASSUMPTIONS!C16*IF($C$7="BTO",ASSUMPTIONS!C20,ASSUMPTIONS!C21)*IF($C$9="Light",ASSUMPTIONS!C25,IF($C$9="Extensive",ASSUMPTIONS!C27,ASSUMPTIONS!C26))*IF($C$6="3-room",ASSUMPTIONS!C31,IF($C$6="5-room",ASSUMPTIONS!C33,ASSUMPTIONS!C32)),0)</f>
        <v>0</v>
      </c>
      <c r="D22">
        <f>ROUND(ASSUMPTIONS!D16*IF($C$7="BTO",ASSUMPTIONS!C20,ASSUMPTIONS!C21)*IF($C$9="Light",ASSUMPTIONS!C25,IF($C$9="Extensive",ASSUMPTIONS!C27,ASSUMPTIONS!C26))*IF($C$6="3-room",ASSUMPTIONS!C31,IF($C$6="5-room",ASSUMPTIONS!C33,ASSUMPTIONS!C32)),0)</f>
        <v>0</v>
      </c>
      <c r="E22" t="str">
        <v/>
      </c>
      <c r="F22">
        <f>IF($E22="",C22,$E22)</f>
        <v>0</v>
      </c>
      <c r="G22">
        <f>IF($E22="",D22,$E22)</f>
        <v>0</v>
      </c>
    </row>
    <row r="23">
      <c r="B23" t="str">
        <v>ESTIMATED BASE BUDGET (mid-point used)</v>
      </c>
      <c r="F23">
        <f>(SUM(F13:F22)+SUM(G13:G22))/2</f>
        <v>0</v>
      </c>
    </row>
    <row r="24">
      <c r="B24" t="str">
        <v>LOW PLANNING RANGE</v>
      </c>
      <c r="F24">
        <f>SUM(F13:F22)</f>
        <v>0</v>
      </c>
    </row>
    <row r="25">
      <c r="B25" t="str">
        <v>HIGH PLANNING RANGE</v>
      </c>
      <c r="F25">
        <f>SUM(G13:G22)</f>
        <v>0</v>
      </c>
    </row>
    <row r="27">
      <c r="B27" t="str">
        <v>CONTINGENCY &amp; TOTALS</v>
      </c>
    </row>
    <row r="28">
      <c r="B28" t="str">
        <v>Contingency rate</v>
      </c>
      <c r="C28">
        <v>0.12</v>
      </c>
      <c r="D28" t="str">
        <v>Recommended 10-15%</v>
      </c>
    </row>
    <row r="29">
      <c r="B29" t="str">
        <v>Optional items subtotal</v>
      </c>
      <c r="E29">
        <f>(F21+G21)/2</f>
        <v>0</v>
      </c>
    </row>
    <row r="30">
      <c r="B30" t="str">
        <v>ESTIMATED TOTAL (base + contingency)</v>
      </c>
      <c r="E30">
        <f>ROUND(F23*(1+$C28),0)</f>
        <v>0</v>
      </c>
    </row>
    <row r="32">
      <c r="B32" t="str">
        <v>CASH &amp; PAYMENT</v>
      </c>
    </row>
    <row r="33">
      <c r="B33" t="str">
        <v>Renovation loan planned (S$)</v>
      </c>
      <c r="C33">
        <v>0</v>
      </c>
    </row>
    <row r="34">
      <c r="B34" t="str">
        <v>Recommended contingency reserve</v>
      </c>
      <c r="E34">
        <f>ROUND(F23*$C28,0)</f>
        <v>0</v>
      </c>
    </row>
    <row r="35">
      <c r="B35" t="str">
        <v>CASH YOU MUST COVER (total − loan)</v>
      </c>
      <c r="E35">
        <f>MAX(0,$E30-$C33)</f>
        <v>0</v>
      </c>
    </row>
    <row r="38">
      <c r="B38" t="str">
        <v>STAGED PAYMENT PLAN (edit % to match your agreement)</v>
      </c>
    </row>
    <row r="39">
      <c r="B39" t="str">
        <v>Stage</v>
      </c>
      <c r="C39" t="str">
        <v>% of total</v>
      </c>
      <c r="D39" t="str">
        <v>Amount (S$)</v>
      </c>
      <c r="E39" t="str">
        <v>Typical trigger</v>
      </c>
    </row>
    <row r="40">
      <c r="B40" t="str">
        <v>Deposit at signing</v>
      </c>
      <c r="C40">
        <v>0.15</v>
      </c>
      <c r="D40">
        <f>ROUND($E30*C40,0)</f>
        <v>0</v>
      </c>
      <c r="E40" t="str">
        <v>At contract signing</v>
      </c>
    </row>
    <row r="41">
      <c r="B41" t="str">
        <v>Milestone 1 — hacking/demolition</v>
      </c>
      <c r="C41">
        <v>0.2</v>
      </c>
      <c r="D41">
        <f>ROUND($E30*C41,0)</f>
        <v>0</v>
      </c>
      <c r="E41" t="str">
        <v>Hacking complete</v>
      </c>
    </row>
    <row r="42">
      <c r="B42" t="str">
        <v>Milestone 2 — wet works</v>
      </c>
      <c r="C42">
        <v>0.3</v>
      </c>
      <c r="D42">
        <f>ROUND($E30*C42,0)</f>
        <v>0</v>
      </c>
      <c r="E42" t="str">
        <v>Flooring, plumbing, tiling</v>
      </c>
    </row>
    <row r="43">
      <c r="B43" t="str">
        <v>Milestone 3 — carpentry &amp; M&amp;E</v>
      </c>
      <c r="C43">
        <v>0.2</v>
      </c>
      <c r="D43">
        <f>ROUND($E30*C43,0)</f>
        <v>0</v>
      </c>
      <c r="E43" t="str">
        <v>Carpentry + electrical</v>
      </c>
    </row>
    <row r="44">
      <c r="B44" t="str">
        <v>Final on completion</v>
      </c>
      <c r="C44">
        <v>0.15</v>
      </c>
      <c r="D44">
        <f>ROUND($E30*C44,0)</f>
        <v>0</v>
      </c>
      <c r="E44" t="str">
        <v>Project signed off</v>
      </c>
    </row>
    <row r="45">
      <c r="B45" t="str">
        <v>Total (should be 100%)</v>
      </c>
      <c r="C45">
        <f>SUM(C40:C44)</f>
        <v>0</v>
      </c>
    </row>
  </sheetData>
  <ignoredErrors>
    <ignoredError numberStoredAsText="1" sqref="A1:G45"/>
  </ignoredErrors>
</worksheet>
</file>

<file path=xl/worksheets/sheet4.xml><?xml version="1.0" encoding="utf-8"?>
<worksheet xmlns="http://schemas.openxmlformats.org/spreadsheetml/2006/main" xmlns:r="http://schemas.openxmlformats.org/officeDocument/2006/relationships">
  <dimension ref="A1:E14"/>
  <sheetViews>
    <sheetView workbookViewId="0"/>
  </sheetViews>
  <cols>
    <col min="1" max="1" width="42.83203125" customWidth="1"/>
    <col min="2" max="2" width="18.83203125" customWidth="1"/>
    <col min="3" max="3" width="12.83203125" customWidth="1"/>
    <col min="4" max="4" width="16.83203125" customWidth="1"/>
    <col min="5" max="5" width="70.83203125" customWidth="1"/>
  </cols>
  <sheetData>
    <row r="2">
      <c r="B2" t="str">
        <v>COMPLIANCE CHECKER</v>
      </c>
    </row>
    <row r="3">
      <c r="B3" t="str">
        <v>States: OK · CHECK (confirm) · WARNING (resolve before proceeding). Based on HDB guidance; confirm current rules on the HDB portal.</v>
      </c>
    </row>
    <row r="5">
      <c r="B5" t="str">
        <v>Check</v>
      </c>
      <c r="C5" t="str">
        <v>Applies</v>
      </c>
      <c r="D5" t="str">
        <v>Status</v>
      </c>
      <c r="E5" t="str">
        <v>Source / note</v>
      </c>
    </row>
    <row r="6">
      <c r="B6" t="str">
        <v>HDB-registered renovation contractor</v>
      </c>
      <c r="C6" t="str">
        <v>All flats</v>
      </c>
      <c r="D6">
        <f>"OK"</f>
        <v>0</v>
      </c>
      <c r="E6" t="str">
        <v>HDB Directory of Renovation Contractors — non-negotiable</v>
      </c>
    </row>
    <row r="7">
      <c r="B7" t="str">
        <v>Permit for hacking / wall &amp; floor alteration</v>
      </c>
      <c r="C7" t="str">
        <v>If scope alters walls/floors</v>
      </c>
      <c r="D7">
        <f>IF(Inputs!$C$9="Light","OK","CHECK")</f>
        <v>0</v>
      </c>
      <c r="E7" t="str">
        <v>HDB permit for hacking, floor level changes, door facing escape route</v>
      </c>
    </row>
    <row r="8">
      <c r="B8" t="str">
        <v>New BTO toilet-hacking 3-year restriction</v>
      </c>
      <c r="C8" t="str">
        <v>Only BTO</v>
      </c>
      <c r="D8">
        <f>IF(Inputs!$C$7="BTO","CHECK","OK")</f>
        <v>0</v>
      </c>
      <c r="E8" t="str">
        <v>New BTO: no removing toilet wall/floor finishes in first 3 years</v>
      </c>
    </row>
    <row r="9">
      <c r="B9" t="str">
        <v>Completion deadline (3M new / 1M resale)</v>
      </c>
      <c r="C9" t="str">
        <v>All flats</v>
      </c>
      <c r="D9">
        <f>"OK"</f>
        <v>0</v>
      </c>
      <c r="E9" t="str">
        <v>HDB completion: 3 months new, 1 month resale</v>
      </c>
    </row>
    <row r="10">
      <c r="B10" t="str">
        <v>Electrical works by licensed wireman</v>
      </c>
      <c r="C10" t="str">
        <v>If adding/rewiring</v>
      </c>
      <c r="D10">
        <f>"OK"</f>
        <v>0</v>
      </c>
      <c r="E10" t="str">
        <v>Eligible electrical contractor / licensed wireman</v>
      </c>
    </row>
    <row r="11">
      <c r="B11" t="str">
        <v>Main entrance door (fire escape) rules</v>
      </c>
      <c r="C11" t="str">
        <v>If door faces lift/staircase</v>
      </c>
      <c r="D11">
        <f>"CHECK"</f>
        <v>0</v>
      </c>
      <c r="E11" t="str">
        <v>Door facing escape route = fire-rated door + permit</v>
      </c>
    </row>
    <row r="12">
      <c r="B12" t="str">
        <v>Staged cash flow aligned to milestones</v>
      </c>
      <c r="C12" t="str">
        <v>All flats</v>
      </c>
      <c r="D12">
        <f>"OK"</f>
        <v>0</v>
      </c>
      <c r="E12" t="str">
        <v>Avoid paying for incomplete stages ahead of milestones</v>
      </c>
    </row>
    <row r="14">
      <c r="B14" t="str">
        <v>WARNING COUNT (dashboards use this)</v>
      </c>
      <c r="C14">
        <f>COUNTIF(D6:D12,"WARNING")</f>
        <v>0</v>
      </c>
    </row>
  </sheetData>
  <ignoredErrors>
    <ignoredError numberStoredAsText="1" sqref="A1:E14"/>
  </ignoredErrors>
</worksheet>
</file>

<file path=xl/worksheets/sheet5.xml><?xml version="1.0" encoding="utf-8"?>
<worksheet xmlns="http://schemas.openxmlformats.org/spreadsheetml/2006/main" xmlns:r="http://schemas.openxmlformats.org/officeDocument/2006/relationships">
  <dimension ref="A1:C29"/>
  <sheetViews>
    <sheetView workbookViewId="0"/>
  </sheetViews>
  <cols>
    <col min="1" max="1" width="34.83203125" customWidth="1"/>
    <col min="2" max="2" width="44.83203125" customWidth="1"/>
    <col min="3" max="3" width="22.83203125" customWidth="1"/>
  </cols>
  <sheetData>
    <row r="2">
      <c r="B2" t="str">
        <v>RESULTS · YOUR RENOVATION PLAN DASHBOARD</v>
      </c>
    </row>
    <row r="3">
      <c r="B3" t="str">
        <v>All values below update automatically from the INPUTS sheet.</v>
      </c>
    </row>
    <row r="5">
      <c r="B5" t="str">
        <v>KEY NUMBERS</v>
      </c>
    </row>
    <row r="6">
      <c r="B6" t="str">
        <v>Estimated base renovation budget</v>
      </c>
      <c r="C6">
        <f>INPUTS!F23</f>
        <v>0</v>
      </c>
    </row>
    <row r="7">
      <c r="B7" t="str">
        <v>Low planning range</v>
      </c>
      <c r="C7">
        <f>INPUTS!F24</f>
        <v>0</v>
      </c>
    </row>
    <row r="8">
      <c r="B8" t="str">
        <v>High planning range</v>
      </c>
      <c r="C8">
        <f>INPUTS!F25</f>
        <v>0</v>
      </c>
    </row>
    <row r="9">
      <c r="B9" t="str">
        <v>Contingency reserve</v>
      </c>
      <c r="C9">
        <f>INPUTS!E34</f>
        <v>0</v>
      </c>
    </row>
    <row r="10">
      <c r="B10" t="str">
        <v>Optional items subtotal</v>
      </c>
      <c r="C10">
        <f>INPUTS!E29</f>
        <v>0</v>
      </c>
    </row>
    <row r="11">
      <c r="B11" t="str">
        <v>ESTIMATED TOTAL</v>
      </c>
      <c r="C11">
        <f>INPUTS!E30</f>
        <v>0</v>
      </c>
    </row>
    <row r="12">
      <c r="B12" t="str">
        <v>Renovation loan planned</v>
      </c>
      <c r="C12">
        <f>INPUTS!C33</f>
        <v>0</v>
      </c>
    </row>
    <row r="13">
      <c r="B13" t="str">
        <v>CASH YOU MUST COVER</v>
      </c>
      <c r="C13">
        <f>INPUTS!E35</f>
        <v>0</v>
      </c>
    </row>
    <row r="15">
      <c r="B15" t="str">
        <v>COST CATEGORIES</v>
      </c>
    </row>
    <row r="16">
      <c r="B16" t="str">
        <v>Category</v>
      </c>
      <c r="C16" t="str">
        <v>Mid-point (S$)</v>
      </c>
    </row>
    <row r="17">
      <c r="B17" t="str">
        <v>Kitchen renovation</v>
      </c>
      <c r="C17">
        <f>(INPUTS!F13+INPUTS!G13)/2</f>
        <v>0</v>
      </c>
    </row>
    <row r="18">
      <c r="B18" t="str">
        <v>Bathroom renovation</v>
      </c>
      <c r="C18">
        <f>(INPUTS!F14+INPUTS!G14)/2</f>
        <v>0</v>
      </c>
    </row>
    <row r="19">
      <c r="B19" t="str">
        <v>Flooring</v>
      </c>
      <c r="C19">
        <f>(INPUTS!F15+INPUTS!G15)/2</f>
        <v>0</v>
      </c>
    </row>
    <row r="20">
      <c r="B20" t="str">
        <v>Painting</v>
      </c>
      <c r="C20">
        <f>(INPUTS!F16+INPUTS!G16)/2</f>
        <v>0</v>
      </c>
    </row>
    <row r="21">
      <c r="B21" t="str">
        <v>Carpentry</v>
      </c>
      <c r="C21">
        <f>(INPUTS!F17+INPUTS!G17)/2</f>
        <v>0</v>
      </c>
    </row>
    <row r="22">
      <c r="B22" t="str">
        <v>Electrical</v>
      </c>
      <c r="C22">
        <f>(INPUTS!F18+INPUTS!G18)/2</f>
        <v>0</v>
      </c>
    </row>
    <row r="23">
      <c r="B23" t="str">
        <v>Hacking</v>
      </c>
      <c r="C23">
        <f>(INPUTS!F19+INPUTS!G19)/2</f>
        <v>0</v>
      </c>
    </row>
    <row r="24">
      <c r="B24" t="str">
        <v>Built-in furniture</v>
      </c>
      <c r="C24">
        <f>(INPUTS!F20+INPUTS!G20)/2</f>
        <v>0</v>
      </c>
    </row>
    <row r="25">
      <c r="B25" t="str">
        <v>Appliances / optional items</v>
      </c>
      <c r="C25">
        <f>(INPUTS!F21+INPUTS!G21)/2</f>
        <v>0</v>
      </c>
    </row>
    <row r="26">
      <c r="B26" t="str">
        <v>User-defined costs</v>
      </c>
      <c r="C26">
        <f>(INPUTS!F22+INPUTS!G22)/2</f>
        <v>0</v>
      </c>
    </row>
    <row r="28">
      <c r="B28" t="str">
        <v>COMPLIANCE WARNINGS</v>
      </c>
    </row>
    <row r="29">
      <c r="B29" t="str">
        <v>Warning count</v>
      </c>
      <c r="C29">
        <f>COMPLIANCE!C14</f>
        <v>0</v>
      </c>
    </row>
  </sheetData>
  <ignoredErrors>
    <ignoredError numberStoredAsText="1" sqref="A1:C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START HERE</vt:lpstr>
      <vt:lpstr>ASSUMPTIONS</vt:lpstr>
      <vt:lpstr>INPUTS</vt:lpstr>
      <vt:lpstr>COMPLIANCE</vt: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