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RT HERE" sheetId="1" r:id="rId1"/>
    <sheet name="ASSUMPTIONS" sheetId="2" r:id="rId2"/>
    <sheet name="INPUTS" sheetId="3" r:id="rId3"/>
    <sheet name="CALCULATOR" sheetId="4" r:id="rId4"/>
    <sheet name="COMPLIANCE" sheetId="5" r:id="rId5"/>
    <sheet name="RESULTS" sheetId="6" r:id="rId6"/>
    <sheet name="SOURC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&quot;S$&quot;#,##0"/>
    <numFmt numFmtId="61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26.83203125" customWidth="1"/>
    <col min="2" max="2" width="110.83203125" customWidth="1"/>
  </cols>
  <sheetData>
    <row r="2">
      <c r="B2" t="str">
        <v>HDB RenoSmart Budget &amp; Compliance Planner 2026</v>
      </c>
    </row>
    <row r="3">
      <c r="B3" t="str">
        <v>Build a personalized renovation budget, compare scopes, plan contingency, estimate cash needs, and check HDB compliance - all in one workbook.</v>
      </c>
    </row>
    <row r="5">
      <c r="B5" t="str">
        <v>WHY THIS WORKBOOK EXISTS</v>
      </c>
    </row>
    <row r="6">
      <c r="B6" t="str">
        <v>The guide at /guides/hdb-renovation-cost-guide-singapore gives cost ranges and regulations. But applying those to YOUR flat - your floor area, your BTO vs resale, your renovation scope, your contingency comfort, and your compliance checks - still requires calculations. This workbook does that math for you.</v>
      </c>
    </row>
    <row r="8">
      <c r="B8" t="str">
        <v>WHAT YOU GET</v>
      </c>
    </row>
    <row r="9">
      <c r="B9" t="str">
        <v>- INPUTS - flat type (3/4/5-room), property type (BTO/Resale), floor area (sqm), renovation scope (Light/Moderate/Extensive), and per-category cost overrides.</v>
      </c>
    </row>
    <row r="10">
      <c r="B10" t="str">
        <v>- CALCULATOR - transparent formulas using baseline market estimates x property factor x scope factor x floor-area factor, plus contingency and GST.</v>
      </c>
    </row>
    <row r="11">
      <c r="B11" t="str">
        <v>- COMPLIANCE CHECKER - flags for HDB-registered contractor, hacking permit, BTO toilet-hacking restriction, structural work, electrical licensing, fire-door rules, completion deadlines, and staged payments.</v>
      </c>
    </row>
    <row r="12">
      <c r="B12" t="str">
        <v>- RESULTS - dashboard with base budget, GST, contingency, total, planning range, largest cost categories, cash requirement, payment plan, and compliance warnings.</v>
      </c>
    </row>
    <row r="14">
      <c r="B14" t="str">
        <v>HOW TO USE - 3 STEPS</v>
      </c>
    </row>
    <row r="15">
      <c r="B15" t="str">
        <v>STEP 1 . Go to INPUTS. Set your flat type, property type, floor area, and renovation scope. Leave "Your quote" blank to use auto-estimates, or type your real contractor quotes.</v>
      </c>
    </row>
    <row r="16">
      <c r="B16" t="str">
        <v>STEP 2 . Adjust the contingency rate and GST treatment on INPUTS to match your risk. Review the Compliance Checker for any WARNING items.</v>
      </c>
    </row>
    <row r="17">
      <c r="B17" t="str">
        <v>STEP 3 . Read your plan on RESULTS. Build your cash reserve, set payment milestones, and resolve warnings before signing any contract.</v>
      </c>
    </row>
    <row r="19">
      <c r="B19" t="str">
        <v>WHAT IS ESTIMATED vs OFFICIAL vs PLANNING ASSUMPTION vs USER INPUT</v>
      </c>
    </row>
    <row r="20">
      <c r="B20" t="str">
        <v>- Official: HDB compliance rules (contractor registration, hacking permit, BTO toilet-hacking restriction, completion deadlines, electrical licensing, fire-door rules, structural engineer requirements).</v>
      </c>
    </row>
    <row r="21">
      <c r="B21" t="str">
        <v>- Market estimate: Baseline category cost ranges (kitchen, bathroom, flooring, etc.) from industry research.</v>
      </c>
    </row>
    <row r="22">
      <c r="B22" t="str">
        <v>- Planning assumption: Property type factor, renovation scope factor, floor-area factor (FloorArea/90)^0.6, contingency rates, payment milestones, GST treatment.</v>
      </c>
    </row>
    <row r="23">
      <c r="B23" t="str">
        <v>- User input: Your flat details, renovation scope, actual contractor quotes, contingency override.</v>
      </c>
    </row>
    <row r="24">
      <c r="B24" t="str">
        <v>LIMITATIONS &amp; DISCLAIMER</v>
      </c>
    </row>
    <row r="25">
      <c r="B25" t="str">
        <v>This tool provides planning estimates only - not a quotation, not financial or legal advice, and no guarantee of approval. Prices and HDB rules change; verify before committing.</v>
      </c>
    </row>
    <row r="27">
      <c r="B27" t="str">
        <v>Yellow = editable input  .  Green = auto-calculated  .  Do not type into green cells.</v>
      </c>
    </row>
  </sheetData>
  <ignoredErrors>
    <ignoredError numberStoredAsText="1" sqref="A1:B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cols>
    <col min="1" max="1" width="32.83203125" customWidth="1"/>
    <col min="2" max="2" width="16.83203125" customWidth="1"/>
    <col min="3" max="3" width="16.83203125" customWidth="1"/>
    <col min="4" max="4" width="68.83203125" customWidth="1"/>
    <col min="5" max="5" width="20.83203125" customWidth="1"/>
  </cols>
  <sheetData>
    <row r="1">
      <c r="A1" t="str">
        <v>source</v>
      </c>
    </row>
    <row r="2">
      <c r="B2" t="str">
        <v>COST ASSUMPTIONS &amp; FACTORS</v>
      </c>
    </row>
    <row r="3">
      <c r="B3" t="str">
        <v>All values below are editable. Research-based market estimates — not official costs. Refresh here without rebuilding the workbook.</v>
      </c>
    </row>
    <row r="5">
      <c r="B5" t="str">
        <v>BASELINE CATEGORY ESTIMATES · 4-room RESALE · MODERATE scope</v>
      </c>
    </row>
    <row r="6">
      <c r="B6" t="str">
        <v>Category</v>
      </c>
      <c r="C6" t="str">
        <v>Low (S$)</v>
      </c>
      <c r="D6" t="str">
        <v>High (S$)</v>
      </c>
      <c r="E6" t="str">
        <v>Source / note</v>
      </c>
    </row>
    <row r="7">
      <c r="B7" t="str">
        <v>kitchen</v>
      </c>
      <c r="C7" s="1">
        <v>8900</v>
      </c>
      <c r="D7" s="1">
        <v>23200</v>
      </c>
      <c r="E7" t="str">
        <v>Market research estimates: mid-range kitchen w/ cabinetry, hob, hood, tiling</v>
      </c>
      <c r="F7" t="str">
        <v>Market estimate</v>
      </c>
    </row>
    <row r="8">
      <c r="B8" t="str">
        <v>bathroom</v>
      </c>
      <c r="C8" s="1">
        <v>2600</v>
      </c>
      <c r="D8" s="1">
        <v>5200</v>
      </c>
      <c r="E8" t="str">
        <v>Market research estimates: S$1,300 - S$2,600 per bathroom, ~2 bathrooms typical</v>
      </c>
      <c r="F8" t="str">
        <v>Market estimate</v>
      </c>
    </row>
    <row r="9">
      <c r="B9" t="str">
        <v>flooring</v>
      </c>
      <c r="C9" s="1">
        <v>5000</v>
      </c>
      <c r="D9" s="1">
        <v>12000</v>
      </c>
      <c r="E9" t="str">
        <v>Market estimate: tiling/laminate whole 4-room flat</v>
      </c>
      <c r="F9" t="str">
        <v>Market estimate</v>
      </c>
    </row>
    <row r="10">
      <c r="B10" t="str">
        <v>painting</v>
      </c>
      <c r="C10" s="1">
        <v>2500</v>
      </c>
      <c r="D10" s="1">
        <v>6000</v>
      </c>
      <c r="E10" t="str">
        <v>Market estimate incl. prep &amp; paint for whole flat</v>
      </c>
      <c r="F10" t="str">
        <v>Market estimate</v>
      </c>
    </row>
    <row r="11">
      <c r="B11" t="str">
        <v>carpentry</v>
      </c>
      <c r="C11" s="1">
        <v>6000</v>
      </c>
      <c r="D11" s="1">
        <v>15000</v>
      </c>
      <c r="E11" t="str">
        <v>Market research estimates: built-in wardrobes &amp; custom carpentry</v>
      </c>
      <c r="F11" t="str">
        <v>Market estimate</v>
      </c>
    </row>
    <row r="12">
      <c r="B12" t="str">
        <v>electrical</v>
      </c>
      <c r="C12" s="1">
        <v>3000</v>
      </c>
      <c r="D12" s="1">
        <v>6000</v>
      </c>
      <c r="E12" t="str">
        <v>Market research estimates: rewiring ~S$3,000 + power/lighting points</v>
      </c>
      <c r="F12" t="str">
        <v>Market estimate</v>
      </c>
    </row>
    <row r="13">
      <c r="B13" t="str">
        <v>hacking</v>
      </c>
      <c r="C13" s="1">
        <v>2000</v>
      </c>
      <c r="D13" s="1">
        <v>6000</v>
      </c>
      <c r="E13" t="str">
        <v>Market estimate; escalates for resale / heavy structural works</v>
      </c>
      <c r="F13" t="str">
        <v>Market estimate</v>
      </c>
    </row>
    <row r="14">
      <c r="B14" t="str">
        <v>builtin</v>
      </c>
      <c r="C14" s="1">
        <v>6000</v>
      </c>
      <c r="D14" s="1">
        <v>15000</v>
      </c>
      <c r="E14" t="str">
        <v>Custom cabinets, wall units, feature walls</v>
      </c>
      <c r="F14" t="str">
        <v>Market estimate</v>
      </c>
    </row>
    <row r="15">
      <c r="B15" t="str">
        <v>appliances</v>
      </c>
      <c r="C15" s="1">
        <v>3000</v>
      </c>
      <c r="D15" s="1">
        <v>10000</v>
      </c>
      <c r="E15" t="str">
        <v>Hob, hood, washer, dryer, fridge if not in kitchen quote</v>
      </c>
      <c r="F15" t="str">
        <v>Market estimate</v>
      </c>
    </row>
    <row r="16">
      <c r="B16" t="str">
        <v>userdefined</v>
      </c>
      <c r="C16" s="1">
        <v>0</v>
      </c>
      <c r="D16" s="1">
        <v>0</v>
      </c>
      <c r="E16" t="str">
        <v>Enter your own known line items</v>
      </c>
      <c r="F16" t="str">
        <v>User input</v>
      </c>
    </row>
    <row r="18">
      <c r="B18" t="str">
        <v>PROPERTY TYPE FACTOR (multiplies baseline)</v>
      </c>
    </row>
    <row r="19">
      <c r="B19" t="str">
        <v>Property</v>
      </c>
      <c r="C19" t="str">
        <v>Factor</v>
      </c>
      <c r="D19" t="str">
        <v>Note</v>
      </c>
      <c r="E19" t="str">
        <v>Source type</v>
      </c>
    </row>
    <row r="20">
      <c r="B20" t="str">
        <v>BTO (new)</v>
      </c>
      <c r="C20">
        <v>0.82</v>
      </c>
      <c r="D20" t="str">
        <v>BTO typically 15–25% cheaper than resale for same scope</v>
      </c>
      <c r="E20" t="str">
        <v>Planning assumption</v>
      </c>
    </row>
    <row r="21">
      <c r="B21" t="str">
        <v>Resale</v>
      </c>
      <c r="C21">
        <v>1</v>
      </c>
      <c r="D21" t="str">
        <v>Baseline (4-room resale moderate = 1.0)</v>
      </c>
      <c r="E21" t="str">
        <v>Planning assumption</v>
      </c>
    </row>
    <row r="23">
      <c r="B23" t="str">
        <v>RENOVATION SCOPE FACTOR</v>
      </c>
    </row>
    <row r="24">
      <c r="B24" t="str">
        <v>Scope</v>
      </c>
      <c r="C24" t="str">
        <v>Factor</v>
      </c>
      <c r="D24" t="str">
        <v>Description</v>
      </c>
      <c r="E24" t="str">
        <v>Source type</v>
      </c>
    </row>
    <row r="25">
      <c r="B25" t="str">
        <v>Light</v>
      </c>
      <c r="C25">
        <v>0.7</v>
      </c>
      <c r="D25" t="str">
        <v>Cosmetic: paint, flooring, minor carpentry, no hacking</v>
      </c>
      <c r="E25" t="str">
        <v>Planning assumption</v>
      </c>
    </row>
    <row r="26">
      <c r="B26" t="str">
        <v>Moderate</v>
      </c>
      <c r="C26">
        <v>1</v>
      </c>
      <c r="D26" t="str">
        <v>Standard: kitchen + 1-2 bathrooms + flooring + carpentry</v>
      </c>
      <c r="E26" t="str">
        <v>Planning assumption</v>
      </c>
    </row>
    <row r="27">
      <c r="B27" t="str">
        <v>Extensive</v>
      </c>
      <c r="C27">
        <v>1.4</v>
      </c>
      <c r="D27" t="str">
        <v>Full transform: all wet areas, heavy carpentry, structural, new layout</v>
      </c>
      <c r="E27" t="str">
        <v>Planning assumption</v>
      </c>
    </row>
    <row r="29">
      <c r="B29" t="str">
        <v>FLAT SIZE FACTOR (per sqm, relative to 90 sqm 4-room baseline)</v>
      </c>
    </row>
    <row r="30">
      <c r="B30" t="str">
        <v>⚠ Planning / modeling assumption — NOT an official HDB rule or proven market law</v>
      </c>
    </row>
    <row r="31">
      <c r="B31" t="str">
        <v>Input floor area (sqm) is on INPUTS!C8. Formula: (FloorArea / 90)^0.6</v>
      </c>
    </row>
    <row r="32">
      <c r="B32" t="str">
        <v>Exponent 0.6 reflects diminishing per-sqm cost for larger flats (economies of scale in wet works, tiling, painting).</v>
      </c>
    </row>
    <row r="33">
      <c r="B33" t="str">
        <v>3-room (~67 sqm) ~ 0.82x  |  4-room (~90 sqm) = 1.0x  |  5-room (~110 sqm) ~ 1.25x</v>
      </c>
    </row>
    <row r="34">
      <c r="B34" t="str">
        <v>Source type: Planning / modeling assumption</v>
      </c>
    </row>
    <row r="35">
      <c r="B35" t="str">
        <v>To override: enter a manual factor in cell C35</v>
      </c>
      <c r="C35">
        <v>1</v>
      </c>
      <c r="D35" t="str">
        <v>Set to 1.0 to use formula; set to custom value to override</v>
      </c>
    </row>
    <row r="37">
      <c r="B37" t="str">
        <v>CONTINGENCY BASE RATE BY SCOPE</v>
      </c>
    </row>
    <row r="38">
      <c r="B38" t="str">
        <v>Scope</v>
      </c>
      <c r="C38" t="str">
        <v>Base Rate</v>
      </c>
      <c r="D38" t="str">
        <v>Note</v>
      </c>
      <c r="E38" t="str">
        <v>Source type</v>
      </c>
    </row>
    <row r="39">
      <c r="B39" t="str">
        <v>Light</v>
      </c>
      <c r="C39" s="2">
        <v>0.08</v>
      </c>
      <c r="D39" t="str">
        <v>Lower risk - fewer unknowns</v>
      </c>
      <c r="E39" t="str">
        <v>Planning assumption</v>
      </c>
    </row>
    <row r="40">
      <c r="B40" t="str">
        <v>Moderate</v>
      </c>
      <c r="C40" s="2">
        <v>0.12</v>
      </c>
      <c r="D40" t="str">
        <v>Standard recommendation</v>
      </c>
      <c r="E40" t="str">
        <v>Planning assumption</v>
      </c>
    </row>
    <row r="41">
      <c r="B41" t="str">
        <v>Extensive</v>
      </c>
      <c r="C41" s="2">
        <v>0.15</v>
      </c>
      <c r="D41" t="str">
        <v>Higher risk — more unknowns, structural, layout changes</v>
      </c>
      <c r="E41" t="str">
        <v>Planning assumption</v>
      </c>
    </row>
    <row r="43">
      <c r="B43" t="str">
        <v>GST TREATMENT</v>
      </c>
    </row>
    <row r="44">
      <c r="B44" t="str">
        <v>Current GST rate</v>
      </c>
      <c r="C44" s="2">
        <v>0.09</v>
      </c>
      <c r="D44" t="str">
        <v>IRAS official rate from 2024</v>
      </c>
      <c r="E44" t="str">
        <v>Official (IRAS)</v>
      </c>
    </row>
    <row r="45">
      <c r="B45" t="str">
        <v>Baseline prices include GST?</v>
      </c>
      <c r="C45" t="b">
        <v>0</v>
      </c>
      <c r="D45" t="str">
        <v>FALSE = add GST on top of baseline; TRUE = baseline already includes GST</v>
      </c>
      <c r="E45" t="str">
        <v>Planning assumption</v>
      </c>
    </row>
    <row r="46">
      <c r="B46" t="str">
        <v>If FALSE, GST is added to base budget only</v>
      </c>
    </row>
    <row r="48">
      <c r="B48" t="str">
        <v>PAYMENT MILESTONES (planning assumption — edit to match your contractor)</v>
      </c>
    </row>
    <row r="49">
      <c r="B49" t="str">
        <v>Stage</v>
      </c>
      <c r="C49" t="str">
        <v>% of Total</v>
      </c>
      <c r="D49" t="str">
        <v>Typical Trigger</v>
      </c>
    </row>
    <row r="51">
      <c r="B51" t="str">
        <v>Deposit at signing</v>
      </c>
      <c r="C51" s="2">
        <v>0.15</v>
      </c>
      <c r="D51" t="str">
        <v>Contract signing</v>
      </c>
    </row>
    <row r="52">
      <c r="B52" t="str">
        <v>Hacking / demolition complete</v>
      </c>
      <c r="C52" s="2">
        <v>0.2</v>
      </c>
      <c r="D52" t="str">
        <v>After hacking &amp; debris removal</v>
      </c>
    </row>
    <row r="53">
      <c r="B53" t="str">
        <v>Wet works complete (tiling, waterproofing)</v>
      </c>
      <c r="C53" s="2">
        <v>0.3</v>
      </c>
      <c r="D53" t="str">
        <v>Bathroom/kitchen waterproofing done</v>
      </c>
    </row>
    <row r="54">
      <c r="B54" t="str">
        <v>Carpentry &amp; M&amp;E complete</v>
      </c>
      <c r="C54" s="2">
        <v>0.2</v>
      </c>
      <c r="D54" t="str">
        <v>Built-ins installed, electrical done</v>
      </c>
    </row>
    <row r="55">
      <c r="B55" t="str">
        <v>Final on completion</v>
      </c>
      <c r="C55" s="2">
        <v>0.15</v>
      </c>
      <c r="D55" t="str">
        <v>Project signed off, keys handed over</v>
      </c>
    </row>
    <row r="56">
      <c r="B56" t="str">
        <v>Total (must = 100%)</v>
      </c>
      <c r="C56" s="2">
        <f>SUM(C51:C55)</f>
        <v>0</v>
      </c>
    </row>
  </sheetData>
  <ignoredErrors>
    <ignoredError numberStoredAsText="1" sqref="A1:F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cols>
    <col min="1" max="1" width="36.83203125" customWidth="1"/>
    <col min="2" max="2" width="32.83203125" customWidth="1"/>
    <col min="3" max="3" width="16.83203125" customWidth="1"/>
    <col min="4" max="4" width="16.83203125" customWidth="1"/>
    <col min="5" max="5" width="28.83203125" customWidth="1"/>
    <col min="6" max="6" width="16.83203125" customWidth="1"/>
    <col min="7" max="7" width="16.83203125" customWidth="1"/>
  </cols>
  <sheetData>
    <row r="2">
      <c r="B2" t="str">
        <v>STEP 1 · YOUR FLAT, SCOPE &amp; COSTS</v>
      </c>
    </row>
    <row r="3">
      <c r="B3" t="str">
        <v>Edit ONLY the yellow cells. Leave "Your quote" blank to use auto-estimates, or enter your real contractor quotes.</v>
      </c>
    </row>
    <row r="5">
      <c r="B5" t="str">
        <v>YOUR FLAT &amp; SCOPE</v>
      </c>
    </row>
    <row r="6">
      <c r="B6" t="str">
        <v>Flat type</v>
      </c>
      <c r="C6" t="str">
        <v>4-room</v>
      </c>
    </row>
    <row r="7">
      <c r="B7" t="str">
        <v>Property type</v>
      </c>
      <c r="C7" t="str">
        <v>Resale</v>
      </c>
    </row>
    <row r="8">
      <c r="B8" t="str">
        <v>Floor area (sqm)</v>
      </c>
      <c r="C8" s="1">
        <v>90</v>
      </c>
      <c r="D8" t="str">
        <v>Enter your actual floor area from HDB floor plan</v>
      </c>
    </row>
    <row r="9">
      <c r="B9" t="str">
        <v>Renovation scope</v>
      </c>
      <c r="C9" t="str">
        <v>Moderate</v>
      </c>
    </row>
    <row r="11">
      <c r="B11" t="str">
        <v>ESTIMATES &amp; QUOTES BY CATEGORY</v>
      </c>
    </row>
    <row r="12">
      <c r="B12" t="str">
        <v>Work category</v>
      </c>
      <c r="C12" t="str">
        <v>Low est (auto)</v>
      </c>
      <c r="D12" t="str">
        <v>High est (auto)</v>
      </c>
      <c r="E12" t="str">
        <v>Your quote (blank = auto)</v>
      </c>
      <c r="F12" t="str">
        <v>Low used</v>
      </c>
      <c r="G12" t="str">
        <v>High used</v>
      </c>
    </row>
    <row r="13">
      <c r="B13" t="str">
        <v>Kitchen renovation</v>
      </c>
      <c r="C13" s="1">
        <f>ROUND(ASSUMPTIONS!C7*(IF($C$7="BTO",ASSUMPTIONS!C20,ASSUMPTIONS!C21))*(IF($C$9="Light",ASSUMPTIONS!C25,IF($C$9="Extensive",ASSUMPTIONS!C27,ASSUMPTIONS!C26)))*(IF(ASSUMPTIONS!C35=1.0,ROUND(($C$8/90)^0.6,3),ASSUMPTIONS!C35)),0)</f>
        <v>0</v>
      </c>
      <c r="D13" s="1">
        <f>ROUND(ASSUMPTIONS!D7*(IF($C$7="BTO",ASSUMPTIONS!C20,ASSUMPTIONS!C21))*(IF($C$9="Light",ASSUMPTIONS!C25,IF($C$9="Extensive",ASSUMPTIONS!C27,ASSUMPTIONS!C26)))*(IF(ASSUMPTIONS!C35=1.0,ROUND(($C$8/90)^0.6,3),ASSUMPTIONS!C35)),0)</f>
        <v>0</v>
      </c>
      <c r="E13" s="1" t="str">
        <v/>
      </c>
      <c r="F13" s="1">
        <f>IF($E13="",C13,$E13)</f>
        <v>0</v>
      </c>
      <c r="G13" s="1">
        <f>IF($E13="",D13,$E13)</f>
        <v>0</v>
      </c>
    </row>
    <row r="14">
      <c r="B14" t="str">
        <v>Bathroom renovation</v>
      </c>
      <c r="C14" s="1">
        <f>ROUND(ASSUMPTIONS!C8*(IF($C$7="BTO",ASSUMPTIONS!C20,ASSUMPTIONS!C21))*(IF($C$9="Light",ASSUMPTIONS!C25,IF($C$9="Extensive",ASSUMPTIONS!C27,ASSUMPTIONS!C26)))*(IF(ASSUMPTIONS!C35=1.0,ROUND(($C$8/90)^0.6,3),ASSUMPTIONS!C35)),0)</f>
        <v>0</v>
      </c>
      <c r="D14" s="1">
        <f>ROUND(ASSUMPTIONS!D8*(IF($C$7="BTO",ASSUMPTIONS!C20,ASSUMPTIONS!C21))*(IF($C$9="Light",ASSUMPTIONS!C25,IF($C$9="Extensive",ASSUMPTIONS!C27,ASSUMPTIONS!C26)))*(IF(ASSUMPTIONS!C35=1.0,ROUND(($C$8/90)^0.6,3),ASSUMPTIONS!C35)),0)</f>
        <v>0</v>
      </c>
      <c r="E14" s="1" t="str">
        <v/>
      </c>
      <c r="F14" s="1">
        <f>IF($E14="",C14,$E14)</f>
        <v>0</v>
      </c>
      <c r="G14" s="1">
        <f>IF($E14="",D14,$E14)</f>
        <v>0</v>
      </c>
    </row>
    <row r="15">
      <c r="B15" t="str">
        <v>Flooring</v>
      </c>
      <c r="C15" s="1">
        <f>ROUND(ASSUMPTIONS!C9*(IF($C$7="BTO",ASSUMPTIONS!C20,ASSUMPTIONS!C21))*(IF($C$9="Light",ASSUMPTIONS!C25,IF($C$9="Extensive",ASSUMPTIONS!C27,ASSUMPTIONS!C26)))*(IF(ASSUMPTIONS!C35=1.0,ROUND(($C$8/90)^0.6,3),ASSUMPTIONS!C35)),0)</f>
        <v>0</v>
      </c>
      <c r="D15" s="1">
        <f>ROUND(ASSUMPTIONS!D9*(IF($C$7="BTO",ASSUMPTIONS!C20,ASSUMPTIONS!C21))*(IF($C$9="Light",ASSUMPTIONS!C25,IF($C$9="Extensive",ASSUMPTIONS!C27,ASSUMPTIONS!C26)))*(IF(ASSUMPTIONS!C35=1.0,ROUND(($C$8/90)^0.6,3),ASSUMPTIONS!C35)),0)</f>
        <v>0</v>
      </c>
      <c r="E15" s="1" t="str">
        <v/>
      </c>
      <c r="F15" s="1">
        <f>IF($E15="",C15,$E15)</f>
        <v>0</v>
      </c>
      <c r="G15" s="1">
        <f>IF($E15="",D15,$E15)</f>
        <v>0</v>
      </c>
    </row>
    <row r="16">
      <c r="B16" t="str">
        <v>Painting</v>
      </c>
      <c r="C16" s="1">
        <f>ROUND(ASSUMPTIONS!C10*(IF($C$7="BTO",ASSUMPTIONS!C20,ASSUMPTIONS!C21))*(IF($C$9="Light",ASSUMPTIONS!C25,IF($C$9="Extensive",ASSUMPTIONS!C27,ASSUMPTIONS!C26)))*(IF(ASSUMPTIONS!C35=1.0,ROUND(($C$8/90)^0.6,3),ASSUMPTIONS!C35)),0)</f>
        <v>0</v>
      </c>
      <c r="D16" s="1">
        <f>ROUND(ASSUMPTIONS!D10*(IF($C$7="BTO",ASSUMPTIONS!C20,ASSUMPTIONS!C21))*(IF($C$9="Light",ASSUMPTIONS!C25,IF($C$9="Extensive",ASSUMPTIONS!C27,ASSUMPTIONS!C26)))*(IF(ASSUMPTIONS!C35=1.0,ROUND(($C$8/90)^0.6,3),ASSUMPTIONS!C35)),0)</f>
        <v>0</v>
      </c>
      <c r="E16" s="1" t="str">
        <v/>
      </c>
      <c r="F16" s="1">
        <f>IF($E16="",C16,$E16)</f>
        <v>0</v>
      </c>
      <c r="G16" s="1">
        <f>IF($E16="",D16,$E16)</f>
        <v>0</v>
      </c>
    </row>
    <row r="17">
      <c r="B17" t="str">
        <v>Carpentry</v>
      </c>
      <c r="C17" s="1">
        <f>ROUND(ASSUMPTIONS!C11*(IF($C$7="BTO",ASSUMPTIONS!C20,ASSUMPTIONS!C21))*(IF($C$9="Light",ASSUMPTIONS!C25,IF($C$9="Extensive",ASSUMPTIONS!C27,ASSUMPTIONS!C26)))*(IF(ASSUMPTIONS!C35=1.0,ROUND(($C$8/90)^0.6,3),ASSUMPTIONS!C35)),0)</f>
        <v>0</v>
      </c>
      <c r="D17" s="1">
        <f>ROUND(ASSUMPTIONS!D11*(IF($C$7="BTO",ASSUMPTIONS!C20,ASSUMPTIONS!C21))*(IF($C$9="Light",ASSUMPTIONS!C25,IF($C$9="Extensive",ASSUMPTIONS!C27,ASSUMPTIONS!C26)))*(IF(ASSUMPTIONS!C35=1.0,ROUND(($C$8/90)^0.6,3),ASSUMPTIONS!C35)),0)</f>
        <v>0</v>
      </c>
      <c r="E17" s="1" t="str">
        <v/>
      </c>
      <c r="F17" s="1">
        <f>IF($E17="",C17,$E17)</f>
        <v>0</v>
      </c>
      <c r="G17" s="1">
        <f>IF($E17="",D17,$E17)</f>
        <v>0</v>
      </c>
    </row>
    <row r="18">
      <c r="B18" t="str">
        <v>Electrical</v>
      </c>
      <c r="C18" s="1">
        <f>ROUND(ASSUMPTIONS!C12*(IF($C$7="BTO",ASSUMPTIONS!C20,ASSUMPTIONS!C21))*(IF($C$9="Light",ASSUMPTIONS!C25,IF($C$9="Extensive",ASSUMPTIONS!C27,ASSUMPTIONS!C26)))*(IF(ASSUMPTIONS!C35=1.0,ROUND(($C$8/90)^0.6,3),ASSUMPTIONS!C35)),0)</f>
        <v>0</v>
      </c>
      <c r="D18" s="1">
        <f>ROUND(ASSUMPTIONS!D12*(IF($C$7="BTO",ASSUMPTIONS!C20,ASSUMPTIONS!C21))*(IF($C$9="Light",ASSUMPTIONS!C25,IF($C$9="Extensive",ASSUMPTIONS!C27,ASSUMPTIONS!C26)))*(IF(ASSUMPTIONS!C35=1.0,ROUND(($C$8/90)^0.6,3),ASSUMPTIONS!C35)),0)</f>
        <v>0</v>
      </c>
      <c r="E18" s="1" t="str">
        <v/>
      </c>
      <c r="F18" s="1">
        <f>IF($E18="",C18,$E18)</f>
        <v>0</v>
      </c>
      <c r="G18" s="1">
        <f>IF($E18="",D18,$E18)</f>
        <v>0</v>
      </c>
    </row>
    <row r="19">
      <c r="B19" t="str">
        <v>Hacking</v>
      </c>
      <c r="C19" s="1">
        <f>ROUND(ASSUMPTIONS!C13*(IF($C$7="BTO",ASSUMPTIONS!C20,ASSUMPTIONS!C21))*(IF($C$9="Light",ASSUMPTIONS!C25,IF($C$9="Extensive",ASSUMPTIONS!C27,ASSUMPTIONS!C26)))*(IF(ASSUMPTIONS!C35=1.0,ROUND(($C$8/90)^0.6,3),ASSUMPTIONS!C35)),0)</f>
        <v>0</v>
      </c>
      <c r="D19" s="1">
        <f>ROUND(ASSUMPTIONS!D13*(IF($C$7="BTO",ASSUMPTIONS!C20,ASSUMPTIONS!C21))*(IF($C$9="Light",ASSUMPTIONS!C25,IF($C$9="Extensive",ASSUMPTIONS!C27,ASSUMPTIONS!C26)))*(IF(ASSUMPTIONS!C35=1.0,ROUND(($C$8/90)^0.6,3),ASSUMPTIONS!C35)),0)</f>
        <v>0</v>
      </c>
      <c r="E19" s="1" t="str">
        <v/>
      </c>
      <c r="F19" s="1">
        <f>IF($E19="",C19,$E19)</f>
        <v>0</v>
      </c>
      <c r="G19" s="1">
        <f>IF($E19="",D19,$E19)</f>
        <v>0</v>
      </c>
    </row>
    <row r="20">
      <c r="B20" t="str">
        <v>Built-in furniture</v>
      </c>
      <c r="C20" s="1">
        <f>ROUND(ASSUMPTIONS!C14*(IF($C$7="BTO",ASSUMPTIONS!C20,ASSUMPTIONS!C21))*(IF($C$9="Light",ASSUMPTIONS!C25,IF($C$9="Extensive",ASSUMPTIONS!C27,ASSUMPTIONS!C26)))*(IF(ASSUMPTIONS!C35=1.0,ROUND(($C$8/90)^0.6,3),ASSUMPTIONS!C35)),0)</f>
        <v>0</v>
      </c>
      <c r="D20" s="1">
        <f>ROUND(ASSUMPTIONS!D14*(IF($C$7="BTO",ASSUMPTIONS!C20,ASSUMPTIONS!C21))*(IF($C$9="Light",ASSUMPTIONS!C25,IF($C$9="Extensive",ASSUMPTIONS!C27,ASSUMPTIONS!C26)))*(IF(ASSUMPTIONS!C35=1.0,ROUND(($C$8/90)^0.6,3),ASSUMPTIONS!C35)),0)</f>
        <v>0</v>
      </c>
      <c r="E20" s="1" t="str">
        <v/>
      </c>
      <c r="F20" s="1">
        <f>IF($E20="",C20,$E20)</f>
        <v>0</v>
      </c>
      <c r="G20" s="1">
        <f>IF($E20="",D20,$E20)</f>
        <v>0</v>
      </c>
    </row>
    <row r="21">
      <c r="B21" t="str">
        <v>Appliances / optional items</v>
      </c>
      <c r="C21" s="1">
        <f>ROUND(ASSUMPTIONS!C15*(IF($C$7="BTO",ASSUMPTIONS!C20,ASSUMPTIONS!C21))*(IF($C$9="Light",ASSUMPTIONS!C25,IF($C$9="Extensive",ASSUMPTIONS!C27,ASSUMPTIONS!C26)))*(IF(ASSUMPTIONS!C35=1.0,ROUND(($C$8/90)^0.6,3),ASSUMPTIONS!C35)),0)</f>
        <v>0</v>
      </c>
      <c r="D21" s="1">
        <f>ROUND(ASSUMPTIONS!D15*(IF($C$7="BTO",ASSUMPTIONS!C20,ASSUMPTIONS!C21))*(IF($C$9="Light",ASSUMPTIONS!C25,IF($C$9="Extensive",ASSUMPTIONS!C27,ASSUMPTIONS!C26)))*(IF(ASSUMPTIONS!C35=1.0,ROUND(($C$8/90)^0.6,3),ASSUMPTIONS!C35)),0)</f>
        <v>0</v>
      </c>
      <c r="E21" s="1" t="str">
        <v/>
      </c>
      <c r="F21" s="1">
        <f>IF($E21="",C21,$E21)</f>
        <v>0</v>
      </c>
      <c r="G21" s="1">
        <f>IF($E21="",D21,$E21)</f>
        <v>0</v>
      </c>
    </row>
    <row r="22">
      <c r="B22" t="str">
        <v>User-defined costs</v>
      </c>
      <c r="C22" s="1">
        <f>ROUND(ASSUMPTIONS!C16*(IF($C$7="BTO",ASSUMPTIONS!C20,ASSUMPTIONS!C21))*(IF($C$9="Light",ASSUMPTIONS!C25,IF($C$9="Extensive",ASSUMPTIONS!C27,ASSUMPTIONS!C26)))*(IF(ASSUMPTIONS!C35=1.0,ROUND(($C$8/90)^0.6,3),ASSUMPTIONS!C35)),0)</f>
        <v>0</v>
      </c>
      <c r="D22" s="1">
        <f>ROUND(ASSUMPTIONS!D16*(IF($C$7="BTO",ASSUMPTIONS!C20,ASSUMPTIONS!C21))*(IF($C$9="Light",ASSUMPTIONS!C25,IF($C$9="Extensive",ASSUMPTIONS!C27,ASSUMPTIONS!C26)))*(IF(ASSUMPTIONS!C35=1.0,ROUND(($C$8/90)^0.6,3),ASSUMPTIONS!C35)),0)</f>
        <v>0</v>
      </c>
      <c r="E22" s="1" t="str">
        <v/>
      </c>
      <c r="F22" s="1">
        <f>IF($E22="",C22,$E22)</f>
        <v>0</v>
      </c>
      <c r="G22" s="1">
        <f>IF($E22="",D22,$E22)</f>
        <v>0</v>
      </c>
    </row>
    <row r="24">
      <c r="B24" t="str">
        <v>ESTIMATED BASE BUDGET (mid-point of auto/quotes)</v>
      </c>
      <c r="F24" s="1">
        <f>(SUM(F13:F22)+SUM(G13:G22))/2</f>
        <v>0</v>
      </c>
    </row>
    <row r="25">
      <c r="B25" t="str">
        <v>LOW PLANNING RANGE</v>
      </c>
      <c r="F25" s="1">
        <f>SUM(F13:F22)</f>
        <v>0</v>
      </c>
    </row>
    <row r="26">
      <c r="B26" t="str">
        <v>HIGH PLANNING RANGE</v>
      </c>
      <c r="F26" s="1">
        <f>SUM(G13:G22)</f>
        <v>0</v>
      </c>
    </row>
    <row r="27">
      <c r="B27" t="str">
        <v>GST (9%) on base budget</v>
      </c>
      <c r="D27" t="str">
        <v>Assumes baseline prices are GST-exclusive. Set ASSUMPTIONS!C45 to TRUE if quotes include GST</v>
      </c>
      <c r="F27" s="1">
        <f>IF(ASSUMPTIONS!C45,0,ROUND(F24*ASSUMPTIONS!C44,0))</f>
        <v>0</v>
      </c>
    </row>
    <row r="28">
      <c r="B28" t="str">
        <v>CONTINGENCY &amp; TOTALS</v>
      </c>
    </row>
    <row r="29">
      <c r="B29" t="str">
        <v>Contingency rate</v>
      </c>
      <c r="C29" s="2">
        <f>IF($C$9="Light",ASSUMPTIONS!C39,IF($C$9="Extensive",ASSUMPTIONS!C41,ASSUMPTIONS!C40))</f>
        <v>0</v>
      </c>
      <c r="D29" t="str">
        <v>Default by scope. Override by typing your own % in this cell.</v>
      </c>
    </row>
    <row r="30">
      <c r="B30" t="str">
        <v>Optional items subtotal (appliances + user-defined)</v>
      </c>
      <c r="E30" s="1">
        <f>(F21+G21+F22+G22)/2</f>
        <v>0</v>
      </c>
    </row>
    <row r="31">
      <c r="B31" t="str">
        <v>ESTIMATED TOTAL (base + GST + contingency)</v>
      </c>
      <c r="E31" s="1">
        <f>ROUND(F24+F27+F24*C29,0)</f>
        <v>0</v>
      </c>
    </row>
    <row r="33">
      <c r="B33" t="str">
        <v>CASH &amp; PAYMENT</v>
      </c>
    </row>
    <row r="34">
      <c r="B34" t="str">
        <v>Renovation loan planned (S$)</v>
      </c>
      <c r="C34" s="1">
        <v>0</v>
      </c>
    </row>
    <row r="35">
      <c r="B35" t="str">
        <v>Contingency reserve amount</v>
      </c>
      <c r="E35" s="1">
        <f>ROUND(F24*C29,0)</f>
        <v>0</v>
      </c>
    </row>
    <row r="36">
      <c r="B36" t="str">
        <v>CASH YOU MUST COVER (total − loan)</v>
      </c>
      <c r="E36" s="1">
        <f>MAX(0,E31-C34)</f>
        <v>0</v>
      </c>
    </row>
    <row r="38">
      <c r="B38" t="str">
        <v>STAGED PAYMENT PLAN (edit % to match your contractor agreement)</v>
      </c>
    </row>
    <row r="39">
      <c r="B39" t="str">
        <v>Stage</v>
      </c>
      <c r="C39" t="str">
        <v>% of Total</v>
      </c>
      <c r="D39" t="str">
        <v>Amount (S$)</v>
      </c>
      <c r="E39" t="str">
        <v>Typical Trigger</v>
      </c>
    </row>
    <row r="40">
      <c r="B40">
        <f>ASSUMPTIONS!B51</f>
        <v>0</v>
      </c>
      <c r="C40" s="2">
        <f>ASSUMPTIONS!C51</f>
        <v>0</v>
      </c>
      <c r="D40" s="1">
        <f>ROUND(E31*C40,0)</f>
        <v>0</v>
      </c>
      <c r="E40">
        <f>ASSUMPTIONS!D51</f>
        <v>0</v>
      </c>
    </row>
    <row r="41">
      <c r="B41">
        <f>ASSUMPTIONS!B52</f>
        <v>0</v>
      </c>
      <c r="C41" s="2">
        <f>ASSUMPTIONS!C52</f>
        <v>0</v>
      </c>
      <c r="D41" s="1">
        <f>ROUND(E31*C41,0)</f>
        <v>0</v>
      </c>
      <c r="E41">
        <f>ASSUMPTIONS!D52</f>
        <v>0</v>
      </c>
    </row>
    <row r="42">
      <c r="B42">
        <f>ASSUMPTIONS!B53</f>
        <v>0</v>
      </c>
      <c r="C42" s="2">
        <f>ASSUMPTIONS!C53</f>
        <v>0</v>
      </c>
      <c r="D42" s="1">
        <f>ROUND(E31*C42,0)</f>
        <v>0</v>
      </c>
      <c r="E42">
        <f>ASSUMPTIONS!D53</f>
        <v>0</v>
      </c>
    </row>
    <row r="43">
      <c r="B43">
        <f>ASSUMPTIONS!B54</f>
        <v>0</v>
      </c>
      <c r="C43" s="2">
        <f>ASSUMPTIONS!C54</f>
        <v>0</v>
      </c>
      <c r="D43" s="1">
        <f>ROUND(E31*C43,0)</f>
        <v>0</v>
      </c>
      <c r="E43">
        <f>ASSUMPTIONS!D54</f>
        <v>0</v>
      </c>
    </row>
    <row r="44">
      <c r="B44">
        <f>ASSUMPTIONS!B55</f>
        <v>0</v>
      </c>
      <c r="C44" s="2">
        <f>ASSUMPTIONS!C55</f>
        <v>0</v>
      </c>
      <c r="D44" s="1">
        <f>ROUND(E31*C44,0)</f>
        <v>0</v>
      </c>
      <c r="E44">
        <f>ASSUMPTIONS!D55</f>
        <v>0</v>
      </c>
    </row>
    <row r="45">
      <c r="B45" t="str">
        <v>Total (must = 100%)</v>
      </c>
      <c r="C45" s="2">
        <f>SUM(C40:C44)</f>
        <v>0</v>
      </c>
    </row>
  </sheetData>
  <ignoredErrors>
    <ignoredError numberStoredAsText="1" sqref="A1:G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cols>
    <col min="1" max="1" width="36.83203125" customWidth="1"/>
    <col min="2" max="2" width="18.83203125" customWidth="1"/>
    <col min="3" max="3" width="18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</cols>
  <sheetData>
    <row r="2">
      <c r="B2" t="str">
        <v>CALCULATOR · TRANSPARENT FORMULAS</v>
      </c>
    </row>
    <row r="3">
      <c r="B3" t="str">
        <v>All formulas reference INPUTS and ASSUMPTIONS. Green cells = calculated. Do not edit.</v>
      </c>
    </row>
    <row r="5">
      <c r="B5" t="str">
        <v>FACTOR BREAKDOWN</v>
      </c>
    </row>
    <row r="6">
      <c r="B6" t="str">
        <v>Factor</v>
      </c>
      <c r="C6" t="str">
        <v>Value</v>
      </c>
      <c r="D6" t="str">
        <v>Formula / Source</v>
      </c>
    </row>
    <row r="7">
      <c r="B7" t="str">
        <v>Property factor</v>
      </c>
      <c r="C7">
        <f>IF(INPUTS!C7="BTO",ASSUMPTIONS!C20,ASSUMPTIONS!C21)</f>
        <v>0</v>
      </c>
      <c r="D7" t="str">
        <v>From Assumptions table</v>
      </c>
    </row>
    <row r="8">
      <c r="B8" t="str">
        <v>Scope factor</v>
      </c>
      <c r="C8">
        <f>IF(INPUTS!C9="Light",ASSUMPTIONS!C25,IF(INPUTS!C9="Extensive",ASSUMPTIONS!C27,ASSUMPTIONS!C26))</f>
        <v>0</v>
      </c>
      <c r="D8" t="str">
        <v>From Assumptions table</v>
      </c>
    </row>
    <row r="9">
      <c r="B9" t="str">
        <v>Floor-area factor</v>
      </c>
      <c r="C9">
        <f>IF(ASSUMPTIONS!C35=1.0,ROUND((INPUTS!C8/90)^0.6,3),ASSUMPTIONS!C35)</f>
        <v>0</v>
      </c>
      <c r="D9" t="str">
        <v>=(FloorArea/90)^0.6 or manual override</v>
      </c>
    </row>
    <row r="10">
      <c r="B10" t="str">
        <v>Combined multiplier</v>
      </c>
      <c r="C10">
        <f>C7*C8*C9</f>
        <v>0</v>
      </c>
      <c r="D10" t="str">
        <v>Property × Scope × Floor-area</v>
      </c>
    </row>
    <row r="12">
      <c r="B12" t="str">
        <v>CATEGORY CALCULATIONS (Low / High)</v>
      </c>
    </row>
    <row r="13">
      <c r="B13" t="str">
        <v>Category</v>
      </c>
      <c r="C13" t="str">
        <v>Baseline Low</v>
      </c>
      <c r="D13" t="str">
        <v>Baseline High</v>
      </c>
      <c r="E13" t="str">
        <v>Multiplier</v>
      </c>
      <c r="F13" t="str">
        <v>Calc Low</v>
      </c>
      <c r="G13" t="str">
        <v>Calc High</v>
      </c>
      <c r="H13" t="str">
        <v>Your Quote Low</v>
      </c>
      <c r="I13" t="str">
        <v>Your Quote High</v>
      </c>
      <c r="J13" t="str">
        <v>Final Low Used</v>
      </c>
      <c r="K13" t="str">
        <v>Final High Used</v>
      </c>
    </row>
    <row r="14">
      <c r="B14" t="str">
        <v>Kitchen renovation</v>
      </c>
      <c r="C14" s="1">
        <f>ASSUMPTIONS!C7</f>
        <v>0</v>
      </c>
      <c r="D14" s="1">
        <f>ASSUMPTIONS!D7</f>
        <v>0</v>
      </c>
      <c r="E14">
        <f>C11</f>
        <v>0</v>
      </c>
      <c r="F14" s="1">
        <f>ROUND(C14*E14,0)</f>
        <v>0</v>
      </c>
      <c r="G14" s="1">
        <f>ROUND(D14*E14,0)</f>
        <v>0</v>
      </c>
      <c r="H14" s="1">
        <f>INPUTS!E13</f>
        <v>0</v>
      </c>
      <c r="I14" s="1">
        <f>INPUTS!E13</f>
        <v>0</v>
      </c>
      <c r="J14" s="1">
        <f>IF(H14="",F14,H14)</f>
        <v>0</v>
      </c>
      <c r="K14" s="1">
        <f>IF(I14="",G14,I14)</f>
        <v>0</v>
      </c>
    </row>
    <row r="15">
      <c r="B15" t="str">
        <v>Bathroom renovation</v>
      </c>
      <c r="C15" s="1">
        <f>ASSUMPTIONS!C8</f>
        <v>0</v>
      </c>
      <c r="D15" s="1">
        <f>ASSUMPTIONS!D8</f>
        <v>0</v>
      </c>
      <c r="E15">
        <f>C11</f>
        <v>0</v>
      </c>
      <c r="F15" s="1">
        <f>ROUND(C15*E15,0)</f>
        <v>0</v>
      </c>
      <c r="G15" s="1">
        <f>ROUND(D15*E15,0)</f>
        <v>0</v>
      </c>
      <c r="H15" s="1">
        <f>INPUTS!E14</f>
        <v>0</v>
      </c>
      <c r="I15" s="1">
        <f>INPUTS!E14</f>
        <v>0</v>
      </c>
      <c r="J15" s="1">
        <f>IF(H15="",F15,H15)</f>
        <v>0</v>
      </c>
      <c r="K15" s="1">
        <f>IF(I15="",G15,I15)</f>
        <v>0</v>
      </c>
    </row>
    <row r="16">
      <c r="B16" t="str">
        <v>Flooring</v>
      </c>
      <c r="C16" s="1">
        <f>ASSUMPTIONS!C9</f>
        <v>0</v>
      </c>
      <c r="D16" s="1">
        <f>ASSUMPTIONS!D9</f>
        <v>0</v>
      </c>
      <c r="E16">
        <f>C11</f>
        <v>0</v>
      </c>
      <c r="F16" s="1">
        <f>ROUND(C16*E16,0)</f>
        <v>0</v>
      </c>
      <c r="G16" s="1">
        <f>ROUND(D16*E16,0)</f>
        <v>0</v>
      </c>
      <c r="H16" s="1">
        <f>INPUTS!E15</f>
        <v>0</v>
      </c>
      <c r="I16" s="1">
        <f>INPUTS!E15</f>
        <v>0</v>
      </c>
      <c r="J16" s="1">
        <f>IF(H16="",F16,H16)</f>
        <v>0</v>
      </c>
      <c r="K16" s="1">
        <f>IF(I16="",G16,I16)</f>
        <v>0</v>
      </c>
    </row>
    <row r="17">
      <c r="B17" t="str">
        <v>Painting</v>
      </c>
      <c r="C17" s="1">
        <f>ASSUMPTIONS!C10</f>
        <v>0</v>
      </c>
      <c r="D17" s="1">
        <f>ASSUMPTIONS!D10</f>
        <v>0</v>
      </c>
      <c r="E17">
        <f>C11</f>
        <v>0</v>
      </c>
      <c r="F17" s="1">
        <f>ROUND(C17*E17,0)</f>
        <v>0</v>
      </c>
      <c r="G17" s="1">
        <f>ROUND(D17*E17,0)</f>
        <v>0</v>
      </c>
      <c r="H17" s="1">
        <f>INPUTS!E16</f>
        <v>0</v>
      </c>
      <c r="I17" s="1">
        <f>INPUTS!E16</f>
        <v>0</v>
      </c>
      <c r="J17" s="1">
        <f>IF(H17="",F17,H17)</f>
        <v>0</v>
      </c>
      <c r="K17" s="1">
        <f>IF(I17="",G17,I17)</f>
        <v>0</v>
      </c>
    </row>
    <row r="18">
      <c r="B18" t="str">
        <v>Carpentry</v>
      </c>
      <c r="C18" s="1">
        <f>ASSUMPTIONS!C11</f>
        <v>0</v>
      </c>
      <c r="D18" s="1">
        <f>ASSUMPTIONS!D11</f>
        <v>0</v>
      </c>
      <c r="E18">
        <f>C11</f>
        <v>0</v>
      </c>
      <c r="F18" s="1">
        <f>ROUND(C18*E18,0)</f>
        <v>0</v>
      </c>
      <c r="G18" s="1">
        <f>ROUND(D18*E18,0)</f>
        <v>0</v>
      </c>
      <c r="H18" s="1">
        <f>INPUTS!E17</f>
        <v>0</v>
      </c>
      <c r="I18" s="1">
        <f>INPUTS!E17</f>
        <v>0</v>
      </c>
      <c r="J18" s="1">
        <f>IF(H18="",F18,H18)</f>
        <v>0</v>
      </c>
      <c r="K18" s="1">
        <f>IF(I18="",G18,I18)</f>
        <v>0</v>
      </c>
    </row>
    <row r="19">
      <c r="B19" t="str">
        <v>Electrical</v>
      </c>
      <c r="C19" s="1">
        <f>ASSUMPTIONS!C12</f>
        <v>0</v>
      </c>
      <c r="D19" s="1">
        <f>ASSUMPTIONS!D12</f>
        <v>0</v>
      </c>
      <c r="E19">
        <f>C11</f>
        <v>0</v>
      </c>
      <c r="F19" s="1">
        <f>ROUND(C19*E19,0)</f>
        <v>0</v>
      </c>
      <c r="G19" s="1">
        <f>ROUND(D19*E19,0)</f>
        <v>0</v>
      </c>
      <c r="H19" s="1">
        <f>INPUTS!E18</f>
        <v>0</v>
      </c>
      <c r="I19" s="1">
        <f>INPUTS!E18</f>
        <v>0</v>
      </c>
      <c r="J19" s="1">
        <f>IF(H19="",F19,H19)</f>
        <v>0</v>
      </c>
      <c r="K19" s="1">
        <f>IF(I19="",G19,I19)</f>
        <v>0</v>
      </c>
    </row>
    <row r="20">
      <c r="B20" t="str">
        <v>Hacking</v>
      </c>
      <c r="C20" s="1">
        <f>ASSUMPTIONS!C13</f>
        <v>0</v>
      </c>
      <c r="D20" s="1">
        <f>ASSUMPTIONS!D13</f>
        <v>0</v>
      </c>
      <c r="E20">
        <f>C11</f>
        <v>0</v>
      </c>
      <c r="F20" s="1">
        <f>ROUND(C20*E20,0)</f>
        <v>0</v>
      </c>
      <c r="G20" s="1">
        <f>ROUND(D20*E20,0)</f>
        <v>0</v>
      </c>
      <c r="H20" s="1">
        <f>INPUTS!E19</f>
        <v>0</v>
      </c>
      <c r="I20" s="1">
        <f>INPUTS!E19</f>
        <v>0</v>
      </c>
      <c r="J20" s="1">
        <f>IF(H20="",F20,H20)</f>
        <v>0</v>
      </c>
      <c r="K20" s="1">
        <f>IF(I20="",G20,I20)</f>
        <v>0</v>
      </c>
    </row>
    <row r="21">
      <c r="B21" t="str">
        <v>Built-in furniture</v>
      </c>
      <c r="C21" s="1">
        <f>ASSUMPTIONS!C14</f>
        <v>0</v>
      </c>
      <c r="D21" s="1">
        <f>ASSUMPTIONS!D14</f>
        <v>0</v>
      </c>
      <c r="E21">
        <f>C11</f>
        <v>0</v>
      </c>
      <c r="F21" s="1">
        <f>ROUND(C21*E21,0)</f>
        <v>0</v>
      </c>
      <c r="G21" s="1">
        <f>ROUND(D21*E21,0)</f>
        <v>0</v>
      </c>
      <c r="H21" s="1">
        <f>INPUTS!E20</f>
        <v>0</v>
      </c>
      <c r="I21" s="1">
        <f>INPUTS!E20</f>
        <v>0</v>
      </c>
      <c r="J21" s="1">
        <f>IF(H21="",F21,H21)</f>
        <v>0</v>
      </c>
      <c r="K21" s="1">
        <f>IF(I21="",G21,I21)</f>
        <v>0</v>
      </c>
    </row>
    <row r="22">
      <c r="B22" t="str">
        <v>Appliances / optional items</v>
      </c>
      <c r="C22" s="1">
        <f>ASSUMPTIONS!C15</f>
        <v>0</v>
      </c>
      <c r="D22" s="1">
        <f>ASSUMPTIONS!D15</f>
        <v>0</v>
      </c>
      <c r="E22">
        <f>C11</f>
        <v>0</v>
      </c>
      <c r="F22" s="1">
        <f>ROUND(C22*E22,0)</f>
        <v>0</v>
      </c>
      <c r="G22" s="1">
        <f>ROUND(D22*E22,0)</f>
        <v>0</v>
      </c>
      <c r="H22" s="1">
        <f>INPUTS!E21</f>
        <v>0</v>
      </c>
      <c r="I22" s="1">
        <f>INPUTS!E21</f>
        <v>0</v>
      </c>
      <c r="J22" s="1">
        <f>IF(H22="",F22,H22)</f>
        <v>0</v>
      </c>
      <c r="K22" s="1">
        <f>IF(I22="",G22,I22)</f>
        <v>0</v>
      </c>
    </row>
    <row r="23">
      <c r="B23" t="str">
        <v>User-defined costs</v>
      </c>
      <c r="C23" s="1">
        <f>ASSUMPTIONS!C16</f>
        <v>0</v>
      </c>
      <c r="D23" s="1">
        <f>ASSUMPTIONS!D16</f>
        <v>0</v>
      </c>
      <c r="E23">
        <f>C11</f>
        <v>0</v>
      </c>
      <c r="F23" s="1">
        <f>ROUND(C23*E23,0)</f>
        <v>0</v>
      </c>
      <c r="G23" s="1">
        <f>ROUND(D23*E23,0)</f>
        <v>0</v>
      </c>
      <c r="H23" s="1">
        <f>INPUTS!E22</f>
        <v>0</v>
      </c>
      <c r="I23" s="1">
        <f>INPUTS!E22</f>
        <v>0</v>
      </c>
      <c r="J23" s="1">
        <f>IF(H23="",F23,H23)</f>
        <v>0</v>
      </c>
      <c r="K23" s="1">
        <f>IF(I23="",G23,I23)</f>
        <v>0</v>
      </c>
    </row>
    <row r="25">
      <c r="B25" t="str">
        <v>AGGREGATE TOTALS</v>
      </c>
    </row>
    <row r="26">
      <c r="B26" t="str">
        <v>Sum of Final Low Used</v>
      </c>
      <c r="C26" s="1">
        <f>SUM(J15:J23)</f>
        <v>0</v>
      </c>
    </row>
    <row r="27">
      <c r="B27" t="str">
        <v>Sum of Final High Used</v>
      </c>
      <c r="C27" s="1">
        <f>SUM(K15:K23)</f>
        <v>0</v>
      </c>
    </row>
    <row r="28">
      <c r="B28" t="str">
        <v>Base Budget (mid-point)</v>
      </c>
      <c r="C28" s="1">
        <f>(C26+C27)/2</f>
        <v>0</v>
      </c>
    </row>
    <row r="29">
      <c r="B29" t="str">
        <v>GST (9%)</v>
      </c>
      <c r="C29" s="1">
        <f>IF(ASSUMPTIONS!C45,0,ROUND(C28*ASSUMPTIONS!C44,0))</f>
        <v>0</v>
      </c>
    </row>
    <row r="30">
      <c r="B30" t="str">
        <v>Contingency</v>
      </c>
      <c r="C30" s="1">
        <f>ROUND(C28*INPUTS!C29,0)</f>
        <v>0</v>
      </c>
    </row>
    <row r="31">
      <c r="B31" t="str">
        <v>ESTIMATED TOTAL</v>
      </c>
      <c r="C31" s="1">
        <f>C28+C29+C30</f>
        <v>0</v>
      </c>
    </row>
  </sheetData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5.83203125" customWidth="1"/>
    <col min="2" max="2" width="44.83203125" customWidth="1"/>
    <col min="3" max="3" width="30.83203125" customWidth="1"/>
    <col min="4" max="4" width="18.83203125" customWidth="1"/>
    <col min="5" max="5" width="18.83203125" customWidth="1"/>
    <col min="6" max="6" width="70.83203125" customWidth="1"/>
    <col min="7" max="7" width="22.83203125" customWidth="1"/>
  </cols>
  <sheetData>
    <row r="2">
      <c r="B2" t="str">
        <v>COMPLIANCE CHECKER</v>
      </c>
    </row>
    <row r="3">
      <c r="B3" t="str">
        <v>Status: OK ✓  ·  CHECK ⚠ (confirm with HDB/contractor)  ·  WARNING ⛔ (resolve before proceeding). Based on HDB guidance; always confirm current rules on the HDB portal.</v>
      </c>
    </row>
    <row r="5">
      <c r="B5" t="str">
        <v>#</v>
      </c>
      <c r="C5" t="str">
        <v>Check</v>
      </c>
      <c r="D5" t="str">
        <v>Applies to</v>
      </c>
      <c r="E5" t="str">
        <v>Status</v>
      </c>
      <c r="F5" t="str">
        <v>Source / Note</v>
      </c>
    </row>
    <row r="6">
      <c r="B6">
        <v>1</v>
      </c>
      <c r="C6" t="str">
        <v>HDB-registered renovation contractor</v>
      </c>
      <c r="D6" t="str">
        <v>All flats — mandatory</v>
      </c>
      <c r="E6">
        <f>"OK"</f>
        <v>0</v>
      </c>
      <c r="F6" t="str">
        <v>HDB Directory of Renovation Contractors; HDB renovation rules</v>
      </c>
      <c r="G6" t="str">
        <v>Official requirement</v>
      </c>
    </row>
    <row r="7">
      <c r="B7">
        <v>2</v>
      </c>
      <c r="C7" t="str">
        <v>Permit for hacking / wall &amp; floor alteration</v>
      </c>
      <c r="D7" t="str">
        <v>If scope ≠ Light</v>
      </c>
      <c r="E7">
        <f>IF(INPUTS!$C$9="Light","OK","CHECK")</f>
        <v>0</v>
      </c>
      <c r="F7" t="str">
        <v>HDB permit required for hacking, floor level changes, door facing escape route</v>
      </c>
      <c r="G7" t="str">
        <v>Official requirement</v>
      </c>
    </row>
    <row r="8">
      <c r="B8">
        <v>3</v>
      </c>
      <c r="C8" t="str">
        <v>New BTO toilet-hacking restriction (first 3 years)</v>
      </c>
      <c r="D8" t="str">
        <v>Only BTO flats</v>
      </c>
      <c r="E8">
        <f>IF(INPUTS!$C$7="BTO","WARNING","OK")</f>
        <v>0</v>
      </c>
      <c r="F8" t="str">
        <v>HDB: no removing toilet wall/floor finishes in first 3 years of new BTO</v>
      </c>
      <c r="G8" t="str">
        <v>Official requirement</v>
      </c>
    </row>
    <row r="9">
      <c r="B9">
        <v>4</v>
      </c>
      <c r="C9" t="str">
        <v>Completion deadline</v>
      </c>
      <c r="D9" t="str">
        <v>All flats</v>
      </c>
      <c r="E9">
        <f>IF(INPUTS!$C$7="BTO","CHECK (3 months)","CHECK (1 month)")</f>
        <v>0</v>
      </c>
      <c r="F9" t="str">
        <v>HDB: 3 months for new BTO, 1 month for resale from permit date</v>
      </c>
      <c r="G9" t="str">
        <v>Official requirement</v>
      </c>
    </row>
    <row r="10">
      <c r="B10">
        <v>5</v>
      </c>
      <c r="C10" t="str">
        <v>Electrical works by licensed wireman</v>
      </c>
      <c r="D10" t="str">
        <v>If adding/rewiring points</v>
      </c>
      <c r="E10">
        <f>IF(OR(INPUTS!F18&gt;0,INPUTS!G18&gt;0),"CHECK","N/A")</f>
        <v>0</v>
      </c>
      <c r="F10" t="str">
        <v>EMA/EMA-licensed electrical worker required for new wiring</v>
      </c>
      <c r="G10" t="str">
        <v>Official requirement</v>
      </c>
    </row>
    <row r="11">
      <c r="B11">
        <v>6</v>
      </c>
      <c r="C11" t="str">
        <v>Main entrance door facing lift/staircase (fire escape)</v>
      </c>
      <c r="D11" t="str">
        <v>If door faces common escape route</v>
      </c>
      <c r="E11">
        <f>IF(OR(INPUTS!F19&gt;0,INPUTS!G19&gt;0),"CHECK","N/A")</f>
        <v>0</v>
      </c>
      <c r="F11" t="str">
        <v>SCDF/HDB: fire-rated door + permit required for doors facing escape routes</v>
      </c>
      <c r="G11" t="str">
        <v>Official requirement</v>
      </c>
    </row>
    <row r="12">
      <c r="B12">
        <v>7</v>
      </c>
      <c r="C12" t="str">
        <v>Staged payments aligned to milestones</v>
      </c>
      <c r="D12" t="str">
        <v>All flats</v>
      </c>
      <c r="E12">
        <f>"OK"</f>
        <v>0</v>
      </c>
      <c r="F12" t="str">
        <v>Avoid paying for incomplete stages; tie payments to verified milestones</v>
      </c>
      <c r="G12" t="str">
        <v>Planning assumption</v>
      </c>
    </row>
    <row r="13">
      <c r="B13">
        <v>8</v>
      </c>
      <c r="C13" t="str">
        <v>Waterproofing certification for wet areas</v>
      </c>
      <c r="D13" t="str">
        <v>If bathroom/kitchen renovated</v>
      </c>
      <c r="E13">
        <f>IF(OR(INPUTS!F14&gt;0,INPUTS!G14&gt;0,INPUTS!F13&gt;0,INPUTS!G13&gt;0),"CHECK","N/A")</f>
        <v>0</v>
      </c>
      <c r="F13" t="str">
        <v>HDB requires waterproofing membrane certification for wet areas</v>
      </c>
      <c r="G13" t="str">
        <v>Official requirement</v>
      </c>
    </row>
    <row r="14">
      <c r="B14">
        <v>9</v>
      </c>
      <c r="C14" t="str">
        <v>Structural engineer for load-bearing wall changes</v>
      </c>
      <c r="D14" t="str">
        <v>If hacking structural walls</v>
      </c>
      <c r="E14">
        <f>IF(OR(INPUTS!F19&gt;0,INPUTS!G19&gt;0),"WARNING","N/A")</f>
        <v>0</v>
      </c>
      <c r="F14" t="str">
        <v>HDB requires PE endorsement for any structural alterations</v>
      </c>
      <c r="G14" t="str">
        <v>Official requirement</v>
      </c>
    </row>
    <row r="16">
      <c r="B16" t="str">
        <v>WARNING COUNT (dashboard uses this)</v>
      </c>
      <c r="C16">
        <f>COUNTIF(E6:E14,"WARNING")</f>
        <v>0</v>
      </c>
    </row>
    <row r="17">
      <c r="B17" t="str">
        <v>CHECK COUNT</v>
      </c>
      <c r="C17">
        <f>COUNTIF(E6:E14,"CHECK*")</f>
        <v>0</v>
      </c>
    </row>
  </sheetData>
  <ignoredErrors>
    <ignoredError numberStoredAsText="1" sqref="A1:G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cols>
    <col min="1" max="1" width="44.83203125" customWidth="1"/>
    <col min="2" max="2" width="44.83203125" customWidth="1"/>
    <col min="3" max="3" width="22.83203125" customWidth="1"/>
    <col min="4" max="4" width="16.83203125" customWidth="1"/>
    <col min="5" max="5" width="10.83203125" customWidth="1"/>
  </cols>
  <sheetData>
    <row r="2">
      <c r="B2" t="str">
        <v>RESULTS · YOUR RENOVATION PLAN DASHBOARD</v>
      </c>
    </row>
    <row r="3">
      <c r="B3" t="str">
        <v>All values below update automatically from INPUTS and CALCULATOR.</v>
      </c>
    </row>
    <row r="5">
      <c r="B5" t="str">
        <v>KEY NUMBERS</v>
      </c>
    </row>
    <row r="6">
      <c r="B6" t="str">
        <v>Estimated base renovation budget</v>
      </c>
      <c r="C6" s="1">
        <f>INPUTS!F24</f>
        <v>0</v>
      </c>
    </row>
    <row r="7">
      <c r="B7" t="str">
        <v>GST (9%)</v>
      </c>
      <c r="C7" s="1">
        <f>INPUTS!F27</f>
        <v>0</v>
      </c>
    </row>
    <row r="8">
      <c r="B8" t="str">
        <v>Contingency reserve</v>
      </c>
      <c r="C8" s="1">
        <f>INPUTS!E35</f>
        <v>0</v>
      </c>
    </row>
    <row r="9">
      <c r="B9" t="str">
        <v>Optional items subtotal</v>
      </c>
      <c r="C9" s="1">
        <f>INPUTS!E30</f>
        <v>0</v>
      </c>
    </row>
    <row r="10">
      <c r="B10" t="str">
        <v>ESTIMATED TOTAL (base + GST + contingency)</v>
      </c>
      <c r="C10" s="1">
        <f>INPUTS!E31</f>
        <v>0</v>
      </c>
    </row>
    <row r="11">
      <c r="B11" t="str">
        <v>Renovation loan planned</v>
      </c>
      <c r="C11" s="1">
        <f>INPUTS!C34</f>
        <v>0</v>
      </c>
    </row>
    <row r="12">
      <c r="B12" t="str">
        <v>CASH YOU MUST COVER (total − loan)</v>
      </c>
      <c r="C12" s="1">
        <f>INPUTS!E36</f>
        <v>0</v>
      </c>
    </row>
    <row r="14">
      <c r="B14" t="str">
        <v>PLANNING RANGE</v>
      </c>
    </row>
    <row r="15">
      <c r="B15" t="str">
        <v>Low planning range</v>
      </c>
      <c r="C15" s="1">
        <f>INPUTS!F25</f>
        <v>0</v>
      </c>
    </row>
    <row r="16">
      <c r="B16" t="str">
        <v>High planning range</v>
      </c>
      <c r="C16" s="1">
        <f>INPUTS!F26</f>
        <v>0</v>
      </c>
    </row>
    <row r="18">
      <c r="B18" t="str">
        <v>COST CATEGORIES (mid-point of Low/High used)</v>
      </c>
    </row>
    <row r="19">
      <c r="B19" t="str">
        <v>Category</v>
      </c>
      <c r="C19" t="str">
        <v>Amount (S$)</v>
      </c>
      <c r="D19" t="str">
        <v>% of Base</v>
      </c>
      <c r="E19" t="str">
        <v>Is Max</v>
      </c>
    </row>
    <row r="20">
      <c r="B20" t="str">
        <v>Kitchen renovation</v>
      </c>
      <c r="C20" s="1">
        <f>(INPUTS!F13+INPUTS!G13)/2</f>
        <v>0</v>
      </c>
      <c r="D20" s="2">
        <f>IF(INPUTS!F24=0,0,((INPUTS!F13+INPUTS!G13)/2)/INPUTS!F24)</f>
        <v>0</v>
      </c>
      <c r="E20">
        <f>IF(C20=0,0,IF(C20=MAX(C20:C29),1,0))</f>
        <v>0</v>
      </c>
    </row>
    <row r="21">
      <c r="B21" t="str">
        <v>Bathroom renovation</v>
      </c>
      <c r="C21" s="1">
        <f>(INPUTS!F14+INPUTS!G14)/2</f>
        <v>0</v>
      </c>
      <c r="D21" s="2">
        <f>IF(INPUTS!F24=0,0,((INPUTS!F14+INPUTS!G14)/2)/INPUTS!F24)</f>
        <v>0</v>
      </c>
      <c r="E21">
        <f>IF(C21=0,0,IF(C21=MAX(C20:C29),1,0))</f>
        <v>0</v>
      </c>
    </row>
    <row r="22">
      <c r="B22" t="str">
        <v>Flooring</v>
      </c>
      <c r="C22" s="1">
        <f>(INPUTS!F15+INPUTS!G15)/2</f>
        <v>0</v>
      </c>
      <c r="D22" s="2">
        <f>IF(INPUTS!F24=0,0,((INPUTS!F15+INPUTS!G15)/2)/INPUTS!F24)</f>
        <v>0</v>
      </c>
      <c r="E22">
        <f>IF(C22=0,0,IF(C22=MAX(C20:C29),1,0))</f>
        <v>0</v>
      </c>
    </row>
    <row r="23">
      <c r="B23" t="str">
        <v>Painting</v>
      </c>
      <c r="C23" s="1">
        <f>(INPUTS!F16+INPUTS!G16)/2</f>
        <v>0</v>
      </c>
      <c r="D23" s="2">
        <f>IF(INPUTS!F24=0,0,((INPUTS!F16+INPUTS!G16)/2)/INPUTS!F24)</f>
        <v>0</v>
      </c>
      <c r="E23">
        <f>IF(C23=0,0,IF(C23=MAX(C20:C29),1,0))</f>
        <v>0</v>
      </c>
    </row>
    <row r="24">
      <c r="B24" t="str">
        <v>Carpentry</v>
      </c>
      <c r="C24" s="1">
        <f>(INPUTS!F17+INPUTS!G17)/2</f>
        <v>0</v>
      </c>
      <c r="D24" s="2">
        <f>IF(INPUTS!F24=0,0,((INPUTS!F17+INPUTS!G17)/2)/INPUTS!F24)</f>
        <v>0</v>
      </c>
      <c r="E24">
        <f>IF(C24=0,0,IF(C24=MAX(C20:C29),1,0))</f>
        <v>0</v>
      </c>
    </row>
    <row r="25">
      <c r="B25" t="str">
        <v>Electrical</v>
      </c>
      <c r="C25" s="1">
        <f>(INPUTS!F18+INPUTS!G18)/2</f>
        <v>0</v>
      </c>
      <c r="D25" s="2">
        <f>IF(INPUTS!F24=0,0,((INPUTS!F18+INPUTS!G18)/2)/INPUTS!F24)</f>
        <v>0</v>
      </c>
      <c r="E25">
        <f>IF(C25=0,0,IF(C25=MAX(C20:C29),1,0))</f>
        <v>0</v>
      </c>
    </row>
    <row r="26">
      <c r="B26" t="str">
        <v>Hacking</v>
      </c>
      <c r="C26" s="1">
        <f>(INPUTS!F19+INPUTS!G19)/2</f>
        <v>0</v>
      </c>
      <c r="D26" s="2">
        <f>IF(INPUTS!F24=0,0,((INPUTS!F19+INPUTS!G19)/2)/INPUTS!F24)</f>
        <v>0</v>
      </c>
      <c r="E26">
        <f>IF(C26=0,0,IF(C26=MAX(C20:C29),1,0))</f>
        <v>0</v>
      </c>
    </row>
    <row r="27">
      <c r="B27" t="str">
        <v>Built-in furniture</v>
      </c>
      <c r="C27" s="1">
        <f>(INPUTS!F20+INPUTS!G20)/2</f>
        <v>0</v>
      </c>
      <c r="D27" s="2">
        <f>IF(INPUTS!F24=0,0,((INPUTS!F20+INPUTS!G20)/2)/INPUTS!F24)</f>
        <v>0</v>
      </c>
      <c r="E27">
        <f>IF(C27=0,0,IF(C27=MAX(C20:C29),1,0))</f>
        <v>0</v>
      </c>
    </row>
    <row r="28">
      <c r="B28" t="str">
        <v>Appliances / optional items</v>
      </c>
      <c r="C28" s="1">
        <f>(INPUTS!F21+INPUTS!G21)/2</f>
        <v>0</v>
      </c>
      <c r="D28" s="2">
        <f>IF(INPUTS!F24=0,0,((INPUTS!F21+INPUTS!G21)/2)/INPUTS!F24)</f>
        <v>0</v>
      </c>
      <c r="E28">
        <f>IF(C28=0,0,IF(C28=MAX(C20:C29),1,0))</f>
        <v>0</v>
      </c>
    </row>
    <row r="29">
      <c r="B29" t="str">
        <v>User-defined costs</v>
      </c>
      <c r="C29" s="1">
        <f>(INPUTS!F22+INPUTS!G22)/2</f>
        <v>0</v>
      </c>
      <c r="D29" s="2">
        <f>IF(INPUTS!F24=0,0,((INPUTS!F22+INPUTS!G22)/2)/INPUTS!F24)</f>
        <v>0</v>
      </c>
      <c r="E29">
        <f>IF(C29=0,0,IF(C29=MAX(C20:C29),1,0))</f>
        <v>0</v>
      </c>
    </row>
    <row r="31">
      <c r="B31" t="str">
        <v>LARGEST COST CATEGORIES (handles ties)</v>
      </c>
    </row>
    <row r="32">
      <c r="B32" t="str">
        <v>Maximum category amount</v>
      </c>
      <c r="C32" s="1">
        <f>MAX(C21:C29)</f>
        <v>0</v>
      </c>
    </row>
    <row r="33">
      <c r="B33" t="str">
        <v>Categories at maximum</v>
      </c>
      <c r="C33">
        <f>TEXTJOIN(", ",TRUE,IF(E22:E29=1,B22:B29,""))</f>
        <v>0</v>
      </c>
    </row>
    <row r="35">
      <c r="B35" t="str">
        <v>PAYMENT PLANNING</v>
      </c>
    </row>
    <row r="36">
      <c r="B36">
        <f>INPUTS!B40</f>
        <v>0</v>
      </c>
      <c r="C36" s="1">
        <f>INPUTS!D40</f>
        <v>0</v>
      </c>
      <c r="D36">
        <f>INPUTS!E40</f>
        <v>0</v>
      </c>
    </row>
    <row r="37">
      <c r="B37">
        <f>INPUTS!B41</f>
        <v>0</v>
      </c>
      <c r="C37" s="1">
        <f>INPUTS!D41</f>
        <v>0</v>
      </c>
      <c r="D37">
        <f>INPUTS!E41</f>
        <v>0</v>
      </c>
    </row>
    <row r="38">
      <c r="B38">
        <f>INPUTS!B42</f>
        <v>0</v>
      </c>
      <c r="C38" s="1">
        <f>INPUTS!D42</f>
        <v>0</v>
      </c>
      <c r="D38">
        <f>INPUTS!E42</f>
        <v>0</v>
      </c>
    </row>
    <row r="39">
      <c r="B39">
        <f>INPUTS!B43</f>
        <v>0</v>
      </c>
      <c r="C39" s="1">
        <f>INPUTS!D43</f>
        <v>0</v>
      </c>
      <c r="D39">
        <f>INPUTS!E43</f>
        <v>0</v>
      </c>
    </row>
    <row r="40">
      <c r="B40">
        <f>INPUTS!B44</f>
        <v>0</v>
      </c>
      <c r="C40" s="1">
        <f>INPUTS!D44</f>
        <v>0</v>
      </c>
      <c r="D40">
        <f>INPUTS!E44</f>
        <v>0</v>
      </c>
    </row>
    <row r="41">
      <c r="B41" t="str">
        <v>Total (verify = 100%)</v>
      </c>
      <c r="C41" s="2">
        <f>INPUTS!C45</f>
        <v>0</v>
      </c>
    </row>
    <row r="43">
      <c r="B43" t="str">
        <v>COMPLIANCE SUMMARY</v>
      </c>
    </row>
    <row r="44">
      <c r="B44" t="str">
        <v>WARNING count (must be 0 before proceeding)</v>
      </c>
      <c r="C44">
        <f>COMPLIANCE!C16</f>
        <v>0</v>
      </c>
    </row>
    <row r="45">
      <c r="B45" t="str">
        <v>CHECK count (review each)</v>
      </c>
      <c r="C45">
        <f>COMPLIANCE!C17</f>
        <v>0</v>
      </c>
    </row>
  </sheetData>
  <ignoredErrors>
    <ignoredError numberStoredAsText="1" sqref="A1:E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42.83203125" customWidth="1"/>
    <col min="2" max="2" width="44.83203125" customWidth="1"/>
    <col min="3" max="3" width="32.83203125" customWidth="1"/>
    <col min="4" max="4" width="40.83203125" customWidth="1"/>
    <col min="5" max="5" width="22.83203125" customWidth="1"/>
    <col min="6" max="6" width="12.83203125" customWidth="1"/>
    <col min="7" max="7" width="70.83203125" customWidth="1"/>
  </cols>
  <sheetData>
    <row r="2">
      <c r="B2" t="str">
        <v>DATA SOURCES &amp; VERIFICATION</v>
      </c>
    </row>
    <row r="3">
      <c r="B3" t="str">
        <v>All cost estimates are research-based planning assumptions. Regulatory items cite official HDB/SCDF/EMA sources. Verify current rules before committing.</v>
      </c>
    </row>
    <row r="5">
      <c r="B5" t="str">
        <v>Topic</v>
      </c>
      <c r="C5" t="str">
        <v>Value / Rule</v>
      </c>
      <c r="D5" t="str">
        <v>Source</v>
      </c>
      <c r="E5" t="str">
        <v>URL</v>
      </c>
      <c r="F5" t="str">
        <v>Source Type</v>
      </c>
      <c r="G5" t="str">
        <v>Verified</v>
      </c>
      <c r="H5" t="str">
        <v>Notes</v>
      </c>
    </row>
    <row r="6">
      <c r="B6" t="str">
        <v>4-room renovation range</v>
      </c>
      <c r="C6" t="str">
        <v>S$35,000 - S$65,000</v>
      </c>
      <c r="D6" t="str">
        <v>Market research estimates (compiled from industry sources)</v>
      </c>
      <c r="E6" t="str">
        <v>N/A - internal estimate</v>
      </c>
      <c r="F6" t="str">
        <v>Research assumption</v>
      </c>
      <c r="G6" t="str">
        <v>2025-01</v>
      </c>
      <c r="H6" t="str">
        <v>Market estimate range for typical 4-room renovation</v>
      </c>
    </row>
    <row r="7">
      <c r="B7" t="str">
        <v>BTO renovation range</v>
      </c>
      <c r="C7" t="str">
        <v>S$36,000 - S$82,000</v>
      </c>
      <c r="D7" t="str">
        <v>Market research estimates (compiled from industry sources)</v>
      </c>
      <c r="E7" t="str">
        <v>N/A - internal estimate</v>
      </c>
      <c r="F7" t="str">
        <v>Research assumption</v>
      </c>
      <c r="G7" t="str">
        <v>2025-01</v>
      </c>
      <c r="H7" t="str">
        <v>Includes 3-room to 5-room BTO</v>
      </c>
    </row>
    <row r="8">
      <c r="B8" t="str">
        <v>Resale renovation range</v>
      </c>
      <c r="C8" t="str">
        <v>S$51,000 - S$97,000</v>
      </c>
      <c r="D8" t="str">
        <v>Market research estimates (compiled from industry sources)</v>
      </c>
      <c r="E8" t="str">
        <v>N/A - internal estimate</v>
      </c>
      <c r="F8" t="str">
        <v>Research assumption</v>
      </c>
      <c r="G8" t="str">
        <v>2025-01</v>
      </c>
      <c r="H8" t="str">
        <v>Older flats typically cost more</v>
      </c>
    </row>
    <row r="9">
      <c r="B9" t="str">
        <v>HDB renovation contractor requirement</v>
      </c>
      <c r="C9" t="str">
        <v>Must use HDB-registered contractor</v>
      </c>
      <c r="D9" t="str">
        <v>HDB Renovation Portal</v>
      </c>
      <c r="E9" t="str">
        <v>https://www.hdb.gov.sg/residential/renovating</v>
      </c>
      <c r="F9" t="str">
        <v>Official requirement</v>
      </c>
      <c r="G9" t="str">
        <v>2025-01</v>
      </c>
      <c r="H9" t="str">
        <v>Non-negotiable</v>
      </c>
    </row>
    <row r="10">
      <c r="B10" t="str">
        <v>BTO toilet hacking restriction (3 years)</v>
      </c>
      <c r="C10" t="str">
        <v>No removing toilet wall/floor finishes in first 3 years</v>
      </c>
      <c r="D10" t="str">
        <v>HDB BTO Flat Regulations</v>
      </c>
      <c r="E10" t="str">
        <v>https://www.hdb.gov.sg/residential/renovating</v>
      </c>
      <c r="F10" t="str">
        <v>Official requirement</v>
      </c>
      <c r="G10" t="str">
        <v>2025-01</v>
      </c>
      <c r="H10" t="str">
        <v>Applies to new BTO flats</v>
      </c>
    </row>
    <row r="11">
      <c r="B11" t="str">
        <v>Hacking permit requirement</v>
      </c>
      <c r="C11" t="str">
        <v>Required for wall/floor alterations</v>
      </c>
      <c r="D11" t="str">
        <v>HDB Renovation Permit</v>
      </c>
      <c r="E11" t="str">
        <v>https://www.hdb.gov.sg/residential/renovating</v>
      </c>
      <c r="F11" t="str">
        <v>Official requirement</v>
      </c>
      <c r="G11" t="str">
        <v>2025-01</v>
      </c>
      <c r="H11" t="str">
        <v>Includes floor level changes</v>
      </c>
    </row>
    <row r="12">
      <c r="B12" t="str">
        <v>Completion deadline</v>
      </c>
      <c r="C12" t="str">
        <v>3 months (BTO) / 1 month (Resale)</v>
      </c>
      <c r="D12" t="str">
        <v>HDB Renovation Rules</v>
      </c>
      <c r="E12" t="str">
        <v>https://www.hdb.gov.sg/residential/renovating</v>
      </c>
      <c r="F12" t="str">
        <v>Official requirement</v>
      </c>
      <c r="G12" t="str">
        <v>2025-01</v>
      </c>
      <c r="H12" t="str">
        <v>From permit approval date</v>
      </c>
    </row>
    <row r="13">
      <c r="B13" t="str">
        <v>Electrical works licensing</v>
      </c>
      <c r="C13" t="str">
        <v>Licensed wireman required</v>
      </c>
      <c r="D13" t="str">
        <v>EMA Electrical Worker Licence</v>
      </c>
      <c r="E13" t="str">
        <v>https://www.ema.gov.sg</v>
      </c>
      <c r="F13" t="str">
        <v>Official requirement</v>
      </c>
      <c r="G13" t="str">
        <v>2025-01</v>
      </c>
      <c r="H13" t="str">
        <v>For new wiring points</v>
      </c>
    </row>
    <row r="14">
      <c r="B14" t="str">
        <v>Fire-rated door for escape route</v>
      </c>
      <c r="C14" t="str">
        <v>Required if main door faces lift/staircase</v>
      </c>
      <c r="D14" t="str">
        <v>SCDF Fire Safety Act / HDB</v>
      </c>
      <c r="E14" t="str">
        <v>https://www.scdf.gov.sg</v>
      </c>
      <c r="F14" t="str">
        <v>Official requirement</v>
      </c>
      <c r="G14" t="str">
        <v>2025-01</v>
      </c>
      <c r="H14" t="str">
        <v>Door facing common escape route</v>
      </c>
    </row>
    <row r="15">
      <c r="B15" t="str">
        <v>Waterproofing certification</v>
      </c>
      <c r="C15" t="str">
        <v>Required for wet areas (bathroom/kitchen)</v>
      </c>
      <c r="D15" t="str">
        <v>HDB Renovation Guide</v>
      </c>
      <c r="E15" t="str">
        <v>https://www.hdb.gov.sg/residential/renovating</v>
      </c>
      <c r="F15" t="str">
        <v>Official requirement</v>
      </c>
      <c r="G15" t="str">
        <v>2025-01</v>
      </c>
      <c r="H15" t="str">
        <v>Membrane test certificate</v>
      </c>
    </row>
    <row r="16">
      <c r="B16" t="str">
        <v>Structural engineer (PE) endorsement</v>
      </c>
      <c r="C16" t="str">
        <v>Required for load-bearing wall changes</v>
      </c>
      <c r="D16" t="str">
        <v>HDB / BCA Structural Requirements</v>
      </c>
      <c r="E16" t="str">
        <v>https://www.hdb.gov.sg/residential/renovating</v>
      </c>
      <c r="F16" t="str">
        <v>Official requirement</v>
      </c>
      <c r="G16" t="str">
        <v>2025-01</v>
      </c>
      <c r="H16" t="str">
        <v>Any structural alteration</v>
      </c>
    </row>
    <row r="17">
      <c r="B17" t="str">
        <v>GST rate</v>
      </c>
      <c r="C17" t="str">
        <v>9% from 2024</v>
      </c>
      <c r="D17" t="str">
        <v>IRAS</v>
      </c>
      <c r="E17" t="str">
        <v>https://www.iras.gov.sg</v>
      </c>
      <c r="F17" t="str">
        <v>Official</v>
      </c>
      <c r="G17" t="str">
        <v>2025-01</v>
      </c>
      <c r="H17" t="str">
        <v>Applicable to renovation services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 HERE</vt:lpstr>
      <vt:lpstr>ASSUMPTIONS</vt:lpstr>
      <vt:lpstr>INPUTS</vt:lpstr>
      <vt:lpstr>CALCULATOR</vt:lpstr>
      <vt:lpstr>COMPLIANCE</vt:lpstr>
      <vt:lpstr>RESULTS</vt:lpstr>
      <vt:lpstr>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