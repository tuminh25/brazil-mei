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PROFILE" state="visible" r:id="rId5"/>
    <sheet sheetId="3" name="PHASE MAP" state="visible" r:id="rId6"/>
    <sheet sheetId="4" name="DISTANCE &amp; PRIORITY" state="visible" r:id="rId7"/>
    <sheet sheetId="5" name="ACTION PLAN" state="visible" r:id="rId8"/>
  </sheets>
  <calcPr calcId="171027"/>
</workbook>
</file>

<file path=xl/sharedStrings.xml><?xml version="1.0" encoding="utf-8"?>
<sst xmlns="http://schemas.openxmlformats.org/spreadsheetml/2006/main" count="288" uniqueCount="168">
  <si>
    <t>Singapore P1 Phase &amp; Priority Strategy Mapper 2026</t>
  </si>
  <si>
    <t>A planning tool to understand P1 registration phases, map school distances, and build a timeline — NOT a guarantee of admission.</t>
  </si>
  <si>
    <t>WHAT THIS WORKBOOK DOES</t>
  </si>
  <si>
    <t>• PROFILE — capture your child's details (DOB, address, citizenship, sibling status) for quick reference.</t>
  </si>
  <si>
    <t>• PHASE MAP — overview of all P1 registration phases (1 to 3), key dates, and what each phase means.</t>
  </si>
  <si>
    <t>• DISTANCE &amp; PRIORITY — list schools of interest, their distance categories, and planning relevance.</t>
  </si>
  <si>
    <t>• ACTION PLAN — build a personalised timeline with deadlines, priorities, and status tracking.</t>
  </si>
  <si>
    <t>HOW TO USE — 3 STEPS</t>
  </si>
  <si>
    <t>STEP 1 · Go to PROFILE and fill in your child's details and residential address.</t>
  </si>
  <si>
    <t>STEP 2 · Review PHASE MAP to understand which phase applies to you. Use DISTANCE &amp; PRIORITY to shortlist schools.</t>
  </si>
  <si>
    <t>STEP 3 · Build your ACTION PLAN with key deadlines and track progress.</t>
  </si>
  <si>
    <t>WHAT IS OFFICIAL vs PLANNING GUIDANCE vs USER INPUT</t>
  </si>
  <si>
    <t>• Official rules: MOE P1 registration phases, eligibility criteria, and balloting rules (published annually by MOE).</t>
  </si>
  <si>
    <t>• Planning guidance: typical phase timelines, distance categories (&lt;1km, 1-2km, &gt;2km), and common preparation steps.</t>
  </si>
  <si>
    <t>• User input: your Profile details, school selections, Action Plan items — entirely controlled by you.</t>
  </si>
  <si>
    <t>LIMITATIONS &amp; DISCLAIMER</t>
  </si>
  <si>
    <t>This tool is for planning and organisation only. It does NOT guarantee admission to any school. MOE rules change annually; always verify latest information on the MOE website and individual school websites before registration.</t>
  </si>
  <si>
    <t>Yellow = editable input  ·  Green = auto-calculated  ·  Do not type into green cells.</t>
  </si>
  <si>
    <t>STEP 1 · CHILD &amp; FAMILY PROFILE</t>
  </si>
  <si>
    <t>Fill in the yellow cells. This sheet is for your reference and drives phase eligibility.</t>
  </si>
  <si>
    <t>CHILD DETAILS</t>
  </si>
  <si>
    <t>Child's full name (as in BC)</t>
  </si>
  <si>
    <t/>
  </si>
  <si>
    <t>Date of birth</t>
  </si>
  <si>
    <t>Current age (years)</t>
  </si>
  <si>
    <t>Birth Certificate / FIN number</t>
  </si>
  <si>
    <t>Citizenship / Residency status</t>
  </si>
  <si>
    <t>Gender</t>
  </si>
  <si>
    <t>ADDRESS &amp; DISTANCE</t>
  </si>
  <si>
    <t>Residential address (for P1 registration)</t>
  </si>
  <si>
    <t>Postal code</t>
  </si>
  <si>
    <t>Planning area / region</t>
  </si>
  <si>
    <t>Type of residence</t>
  </si>
  <si>
    <t>Years at current address</t>
  </si>
  <si>
    <t>Intended address for registration (if different)</t>
  </si>
  <si>
    <t>FAMILY &amp; SIBLING STATUS</t>
  </si>
  <si>
    <t>Father's citizenship / residency</t>
  </si>
  <si>
    <t>Mother's citizenship / residency</t>
  </si>
  <si>
    <t>Sibling 1: Name, DOB, School (if any)</t>
  </si>
  <si>
    <t>Sibling 2: Name, DOB, School (if any)</t>
  </si>
  <si>
    <t>Sibling currently in target primary school?</t>
  </si>
  <si>
    <t>No</t>
  </si>
  <si>
    <t>Parent / sibling alumni of target school?</t>
  </si>
  <si>
    <t>Parent / sibling staff of target school?</t>
  </si>
  <si>
    <t>Parent volunteer hours at target school (if any)</t>
  </si>
  <si>
    <t>Community / clan association membership</t>
  </si>
  <si>
    <t>REGISTRATION YEAR TARGET</t>
  </si>
  <si>
    <t>Target P1 registration year</t>
  </si>
  <si>
    <t>Child turns 7 in (year)</t>
  </si>
  <si>
    <t>Eligible for Phase 1?</t>
  </si>
  <si>
    <t>P1 REGISTRATION PHASES — OVERVIEW</t>
  </si>
  <si>
    <t>Based on MOE annual registration framework. Verify exact dates on MOE website each year.</t>
  </si>
  <si>
    <t>Phase</t>
  </si>
  <si>
    <t>Eligibility</t>
  </si>
  <si>
    <t>Typical Period</t>
  </si>
  <si>
    <t>What It Means</t>
  </si>
  <si>
    <t>What to Prepare</t>
  </si>
  <si>
    <t>Source Type</t>
  </si>
  <si>
    <t>Phase 1</t>
  </si>
  <si>
    <t>Child with sibling currently studying in the school</t>
  </si>
  <si>
    <t>Early July (1 day)</t>
  </si>
  <si>
    <t>Guaranteed place if sibling is in the school</t>
  </si>
  <si>
    <t>Sibling's BC, parent's NRIC, proof of sibling's current enrolment</t>
  </si>
  <si>
    <t>Official</t>
  </si>
  <si>
    <t>Phase 2A</t>
  </si>
  <si>
    <t>Child whose parent/sibling is alumni (member of alumni association) OR parent/sibling is staff of the school</t>
  </si>
  <si>
    <t>Mid July (1 day)</t>
  </si>
  <si>
    <t>High priority; balloting if oversubscribed</t>
  </si>
  <si>
    <t>Alumni membership proof OR staff employment proof, parent's NRIC, child's BC</t>
  </si>
  <si>
    <t>Phase 2B</t>
  </si>
  <si>
    <t>Child whose parent joined parent volunteer group (≥40 hrs, by 30 Jun prior year) OR parent/sibling is clan/church/community leader OR child is in MOE kindergarten near school</t>
  </si>
  <si>
    <t>Late July (2 days)</t>
  </si>
  <si>
    <t>Balloting likely; distance priority applies</t>
  </si>
  <si>
    <t>Volunteer hours proof, MOE kindergarten cert, community leader proof, child's BC, parent's NRIC</t>
  </si>
  <si>
    <t>Phase 2C</t>
  </si>
  <si>
    <t>All other children (SC &amp; PR)</t>
  </si>
  <si>
    <t>Early August (2 days)</t>
  </si>
  <si>
    <t>Open to all; balloting by distance priority (&lt;1km, 1-2km, &gt;2km)</t>
  </si>
  <si>
    <t>Child's BC, both parents' NRIC, proof of address</t>
  </si>
  <si>
    <t>Phase 2C Supplementary</t>
  </si>
  <si>
    <t>SC &amp; PR children not yet placed after Phase 2C</t>
  </si>
  <si>
    <t>Mid August (1 day)</t>
  </si>
  <si>
    <t>Remaining vacancies; same distance priority</t>
  </si>
  <si>
    <t>Same as Phase 2C</t>
  </si>
  <si>
    <t>Phase 3</t>
  </si>
  <si>
    <t>International students (non-SC, non-PR)</t>
  </si>
  <si>
    <t>Late October (after all SC/PR placed)</t>
  </si>
  <si>
    <t>Only after all SC/PR allocated; very limited vacancies</t>
  </si>
  <si>
    <t>Child's passport, parents' passes, proof of address, MOE approval letter</t>
  </si>
  <si>
    <t>KEY NOTES</t>
  </si>
  <si>
    <t>• Exact dates change annually — check MOE P1 Registration website for current year.</t>
  </si>
  <si>
    <t>• Balloting order: &lt;1km SC &gt; &lt;1km PR &gt; 1-2km SC &gt; 1-2km PR &gt; &gt;2km SC &gt; &gt;2km PR</t>
  </si>
  <si>
    <t>• Phase 2B volunteer hours must be completed by 30 June of year BEFORE registration.</t>
  </si>
  <si>
    <t>• Address used for distance is the one on NRIC at registration. 30-month stay rule may apply.</t>
  </si>
  <si>
    <t>• MOE Kindergarten (MK) priority applies only to MKs within 2km of the primary school.</t>
  </si>
  <si>
    <t>• Phase 2A covers both alumni association members and school staff (per MOE framework).</t>
  </si>
  <si>
    <t>• Source: MOE P1 Registration Framework (official).</t>
  </si>
  <si>
    <t>SCHOOL SHORTLIST — DISTANCE &amp; PRIORITY</t>
  </si>
  <si>
    <t>Add schools you are considering. Distance category determines balloting priority. Yellow = editable.</t>
  </si>
  <si>
    <t>#</t>
  </si>
  <si>
    <t>School Name</t>
  </si>
  <si>
    <t>Distance from Home</t>
  </si>
  <si>
    <t>Distance Category</t>
  </si>
  <si>
    <t>Phase You Qualify For</t>
  </si>
  <si>
    <t>Priority / Planning Relevance</t>
  </si>
  <si>
    <t>Notes</t>
  </si>
  <si>
    <t>DISTANCE CATEGORY GUIDE</t>
  </si>
  <si>
    <t>&lt;1 km — Highest balloting priority (SC then PR)</t>
  </si>
  <si>
    <t>1–2 km — Medium priority (SC then PR)</t>
  </si>
  <si>
    <t>&gt;2 km — Lowest priority (SC then PR)</t>
  </si>
  <si>
    <t>Use OneMap or school's "Find Schools Near You" tool for official distance.</t>
  </si>
  <si>
    <t>PERSONALISED ACTION PLAN</t>
  </si>
  <si>
    <t>Build your timeline. Yellow = editable. Green = auto-calculated from PROFILE.</t>
  </si>
  <si>
    <t>Action</t>
  </si>
  <si>
    <t>Deadline / Phase</t>
  </si>
  <si>
    <t>Priority</t>
  </si>
  <si>
    <t>Status</t>
  </si>
  <si>
    <t>Owner</t>
  </si>
  <si>
    <t>Notes / Links</t>
  </si>
  <si>
    <t>Confirm child's eligibility (SC/PR status, age)</t>
  </si>
  <si>
    <t>Immediate</t>
  </si>
  <si>
    <t>High</t>
  </si>
  <si>
    <t>Check PROFILE!C11</t>
  </si>
  <si>
    <t>Verify residential address on NRIC matches registration address</t>
  </si>
  <si>
    <t>30-month stay rule may apply</t>
  </si>
  <si>
    <t>Complete 40h parent volunteer hours (if targeting Phase 2B)</t>
  </si>
  <si>
    <t>By 30 Jun year before reg</t>
  </si>
  <si>
    <t>Must be done by 30 June prior year</t>
  </si>
  <si>
    <t>Join alumni association (if targeting Phase 2A)</t>
  </si>
  <si>
    <t>Before registration year</t>
  </si>
  <si>
    <t>Check school alumni website</t>
  </si>
  <si>
    <t>Shortlist 5-8 schools using DISTANCE &amp; PRIORITY sheet</t>
  </si>
  <si>
    <t>6 months before reg</t>
  </si>
  <si>
    <t>Consider &lt;1km, 1-2km, &gt;2km mix</t>
  </si>
  <si>
    <t>Attend school open houses / virtual tours</t>
  </si>
  <si>
    <t>Registration year Jan-Jun</t>
  </si>
  <si>
    <t>Medium</t>
  </si>
  <si>
    <t>Check school websites for dates</t>
  </si>
  <si>
    <t>Prepare all required documents (BC, NRICs, proof of address)</t>
  </si>
  <si>
    <t>1 month before reg</t>
  </si>
  <si>
    <t>See MOE document checklist</t>
  </si>
  <si>
    <t>Register for Phase 1 (if eligible)</t>
  </si>
  <si>
    <t>Phase 1 date (early Jul)</t>
  </si>
  <si>
    <t>Online via MOE P1 portal</t>
  </si>
  <si>
    <t>Register for Phase 2A (if eligible)</t>
  </si>
  <si>
    <t>Phase 2A date (mid Jul)</t>
  </si>
  <si>
    <t>Register for Phase 2B (if eligible)</t>
  </si>
  <si>
    <t>Phase 2B dates (late Jul)</t>
  </si>
  <si>
    <t>Register for Phase 2C (if eligible)</t>
  </si>
  <si>
    <t>Phase 2C dates (early Aug)</t>
  </si>
  <si>
    <t>Check balloting results</t>
  </si>
  <si>
    <t>After each phase</t>
  </si>
  <si>
    <t>MOE will notify via SMS/email</t>
  </si>
  <si>
    <t>If not placed, register for Phase 2C Supplementary</t>
  </si>
  <si>
    <t>Phase 2C Supp date (mid Aug)</t>
  </si>
  <si>
    <t>If still not placed, consider Phase 3 (international students only)</t>
  </si>
  <si>
    <t>Phase 3 date (late Oct)</t>
  </si>
  <si>
    <t>Requires MOE approval letter</t>
  </si>
  <si>
    <t>Accept offered place &amp; complete admin</t>
  </si>
  <si>
    <t>Within deadline</t>
  </si>
  <si>
    <t>Submit required forms to school</t>
  </si>
  <si>
    <t>SUMMARY</t>
  </si>
  <si>
    <t>Total actions</t>
  </si>
  <si>
    <t>High priority</t>
  </si>
  <si>
    <t>Not Started</t>
  </si>
  <si>
    <t>In Progress</t>
  </si>
  <si>
    <t>Done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</si>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</sst>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$&quot;#,##0"/>
  </numFmts>
  <fonts count="14" x14ac:knownFonts="1">
    <font>
      <color theme="1"/>
      <family val="2"/>
      <scheme val="minor"/>
      <sz val="11"/>
      <name val="Calibri"/>
    </font>
    <font>
      <b/>
      <color rgb="1F2937"/>
      <sz val="18"/>
      <name val="Calibri"/>
    </font>
    <font>
      <i/>
      <color rgb="6B7280"/>
      <sz val="11"/>
      <name val="Calibri"/>
    </font>
    <font>
      <b/>
      <color rgb="1F2937"/>
      <sz val="11"/>
      <name val="Calibri"/>
    </font>
    <font>
      <color rgb="1F2937"/>
      <sz val="11"/>
      <name val="Calibri"/>
    </font>
    <font>
      <i/>
      <color rgb="92400E"/>
      <sz val="10"/>
      <name val="Calibri"/>
    </font>
    <font>
      <i/>
      <color rgb="6B7280"/>
      <sz val="9"/>
      <name val="Calibri"/>
    </font>
    <font>
      <b/>
      <color rgb="FFFFFF"/>
      <sz val="12"/>
      <name val="Calibri"/>
    </font>
    <font>
      <b/>
      <color rgb="92400E"/>
      <sz val="11"/>
      <name val="Calibri"/>
    </font>
    <font>
      <b/>
      <color rgb="065F46"/>
      <sz val="11"/>
      <name val="Calibri"/>
    </font>
    <font>
      <b/>
      <color rgb="1F2937"/>
      <sz val="10"/>
      <name val="Calibri"/>
    </font>
    <font>
      <b/>
      <color rgb="7F1D1D"/>
      <sz val="11"/>
      <name val="Calibri"/>
    </font>
    <font>
      <b/>
      <color rgb="7F1D1D"/>
      <sz val="10"/>
      <name val="Calibri"/>
    </font>
    <font>
      <b/>
      <color rgb="065F46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E0E7F1"/>
      </patternFill>
    </fill>
    <fill>
      <patternFill patternType="solid">
        <fgColor rgb="2563EB"/>
      </patternFill>
    </fill>
    <fill>
      <patternFill patternType="solid">
        <fgColor rgb="FEF3C7"/>
      </patternFill>
    </fill>
    <fill>
      <patternFill patternType="solid">
        <fgColor rgb="D1FAE5"/>
      </patternFill>
    </fill>
    <fill>
      <patternFill patternType="solid">
        <fgColor rgb="E5E7EB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>
        <color rgb="D97706"/>
      </left>
      <right style="thin">
        <color rgb="D97706"/>
      </right>
      <top style="thin">
        <color rgb="D97706"/>
      </top>
      <bottom style="thin">
        <color rgb="D97706"/>
      </bottom>
      <diagonal/>
    </border>
    <border>
      <left/>
      <right/>
      <top style="thin">
        <color rgb="9CA3AF"/>
      </top>
      <bottom style="thin">
        <color rgb="9CA3A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left" vertical="center"/>
    </xf>
    <xf numFmtId="0" fontId="9" fillId="5" borderId="0" xfId="0" applyFont="1" applyFill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 wrapText="1"/>
    </xf>
    <xf numFmtId="0" fontId="10" fillId="6" borderId="2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4"/>
  <sheetFormatPr defaultRowHeight="15" outlineLevelRow="0" outlineLevelCol="0" x14ac:dyDescent="55"/>
  <cols>
    <col min="2" max="2" width="28" customWidth="1"/>
    <col min="3" max="3" width="11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4" t="s">
        <v>4</v>
      </c>
    </row>
    <row r="8" spans="2:2" x14ac:dyDescent="0.25">
      <c r="B8" s="4" t="s">
        <v>5</v>
      </c>
    </row>
    <row r="9" spans="2:2" x14ac:dyDescent="0.25">
      <c r="B9" s="4" t="s">
        <v>6</v>
      </c>
    </row>
    <row r="11" spans="2:2" x14ac:dyDescent="0.25">
      <c r="B11" s="3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  <row r="14" spans="2:2" x14ac:dyDescent="0.25">
      <c r="B14" s="4" t="s">
        <v>10</v>
      </c>
    </row>
    <row r="16" spans="2:2" x14ac:dyDescent="0.25">
      <c r="B16" s="3" t="s">
        <v>11</v>
      </c>
    </row>
    <row r="17" spans="2:2" x14ac:dyDescent="0.25">
      <c r="B17" s="4" t="s">
        <v>12</v>
      </c>
    </row>
    <row r="18" spans="2:2" x14ac:dyDescent="0.25">
      <c r="B18" s="4" t="s">
        <v>13</v>
      </c>
    </row>
    <row r="19" spans="2:2" x14ac:dyDescent="0.25">
      <c r="B19" s="4" t="s">
        <v>14</v>
      </c>
    </row>
    <row r="21" spans="2:2" x14ac:dyDescent="0.25">
      <c r="B21" s="3" t="s">
        <v>15</v>
      </c>
    </row>
    <row r="22" spans="2:2" x14ac:dyDescent="0.25">
      <c r="B22" s="5" t="s">
        <v>16</v>
      </c>
    </row>
    <row r="24" spans="2:2" x14ac:dyDescent="0.25">
      <c r="B24" s="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5"/>
  <sheetFormatPr defaultRowHeight="15" outlineLevelRow="0" outlineLevelCol="0" x14ac:dyDescent="55"/>
  <cols>
    <col min="2" max="2" width="42" customWidth="1"/>
    <col min="3" max="3" width="44" customWidth="1"/>
  </cols>
  <sheetData>
    <row r="2" spans="2:2" x14ac:dyDescent="0.25">
      <c r="B2" s="1" t="s">
        <v>18</v>
      </c>
    </row>
    <row r="3" spans="2:2" x14ac:dyDescent="0.25">
      <c r="B3" s="2" t="s">
        <v>19</v>
      </c>
    </row>
    <row r="5" spans="2:2" x14ac:dyDescent="0.25">
      <c r="B5" s="7" t="s">
        <v>20</v>
      </c>
    </row>
    <row r="6" spans="2:3" x14ac:dyDescent="0.25">
      <c r="B6" s="8" t="s">
        <v>21</v>
      </c>
      <c r="C6" s="9" t="s">
        <v>22</v>
      </c>
    </row>
    <row r="7" spans="2:3" x14ac:dyDescent="0.25">
      <c r="B7" s="8" t="s">
        <v>23</v>
      </c>
      <c r="C7" s="9" t="s">
        <v>22</v>
      </c>
    </row>
    <row r="8" spans="2:3" x14ac:dyDescent="0.25">
      <c r="B8" s="8" t="s">
        <v>24</v>
      </c>
      <c r="C8" s="10">
        <f>IF(C6="","",DATEDIF(C6,TODAY(),"Y"))</f>
        <v>0</v>
      </c>
    </row>
    <row r="9" spans="2:3" x14ac:dyDescent="0.25">
      <c r="B9" s="8" t="s">
        <v>25</v>
      </c>
      <c r="C9" s="9" t="s">
        <v>22</v>
      </c>
    </row>
    <row r="10" spans="2:3" x14ac:dyDescent="0.25">
      <c r="B10" s="8" t="s">
        <v>26</v>
      </c>
      <c r="C10" s="9" t="s">
        <v>22</v>
      </c>
    </row>
    <row r="11" spans="2:3" x14ac:dyDescent="0.25">
      <c r="B11" s="8" t="s">
        <v>27</v>
      </c>
      <c r="C11" s="9" t="s">
        <v>22</v>
      </c>
    </row>
    <row r="13" spans="2:2" x14ac:dyDescent="0.25">
      <c r="B13" s="7" t="s">
        <v>28</v>
      </c>
    </row>
    <row r="14" spans="2:3" x14ac:dyDescent="0.25">
      <c r="B14" s="8" t="s">
        <v>29</v>
      </c>
      <c r="C14" s="9" t="s">
        <v>22</v>
      </c>
    </row>
    <row r="15" spans="2:3" x14ac:dyDescent="0.25">
      <c r="B15" s="8" t="s">
        <v>30</v>
      </c>
      <c r="C15" s="9" t="s">
        <v>22</v>
      </c>
    </row>
    <row r="16" spans="2:3" x14ac:dyDescent="0.25">
      <c r="B16" s="8" t="s">
        <v>31</v>
      </c>
      <c r="C16" s="9" t="s">
        <v>22</v>
      </c>
    </row>
    <row r="17" spans="2:3" x14ac:dyDescent="0.25">
      <c r="B17" s="8" t="s">
        <v>32</v>
      </c>
      <c r="C17" s="9" t="s">
        <v>22</v>
      </c>
    </row>
    <row r="18" spans="2:3" x14ac:dyDescent="0.25">
      <c r="B18" s="8" t="s">
        <v>33</v>
      </c>
      <c r="C18" s="11">
        <v>0</v>
      </c>
    </row>
    <row r="19" spans="2:3" x14ac:dyDescent="0.25">
      <c r="B19" s="8" t="s">
        <v>34</v>
      </c>
      <c r="C19" s="9" t="s">
        <v>22</v>
      </c>
    </row>
    <row r="21" spans="2:2" x14ac:dyDescent="0.25">
      <c r="B21" s="7" t="s">
        <v>35</v>
      </c>
    </row>
    <row r="22" spans="2:3" x14ac:dyDescent="0.25">
      <c r="B22" s="8" t="s">
        <v>36</v>
      </c>
      <c r="C22" s="9" t="s">
        <v>22</v>
      </c>
    </row>
    <row r="23" spans="2:3" x14ac:dyDescent="0.25">
      <c r="B23" s="8" t="s">
        <v>37</v>
      </c>
      <c r="C23" s="9" t="s">
        <v>22</v>
      </c>
    </row>
    <row r="24" spans="2:3" x14ac:dyDescent="0.25">
      <c r="B24" s="8" t="s">
        <v>38</v>
      </c>
      <c r="C24" s="9" t="s">
        <v>22</v>
      </c>
    </row>
    <row r="25" spans="2:3" x14ac:dyDescent="0.25">
      <c r="B25" s="8" t="s">
        <v>39</v>
      </c>
      <c r="C25" s="9" t="s">
        <v>22</v>
      </c>
    </row>
    <row r="26" spans="2:3" x14ac:dyDescent="0.25">
      <c r="B26" s="8" t="s">
        <v>40</v>
      </c>
      <c r="C26" s="9" t="s">
        <v>41</v>
      </c>
    </row>
    <row r="27" spans="2:3" x14ac:dyDescent="0.25">
      <c r="B27" s="8" t="s">
        <v>42</v>
      </c>
      <c r="C27" s="9" t="s">
        <v>41</v>
      </c>
    </row>
    <row r="28" spans="2:3" x14ac:dyDescent="0.25">
      <c r="B28" s="8" t="s">
        <v>43</v>
      </c>
      <c r="C28" s="9" t="s">
        <v>41</v>
      </c>
    </row>
    <row r="29" spans="2:3" x14ac:dyDescent="0.25">
      <c r="B29" s="8" t="s">
        <v>44</v>
      </c>
      <c r="C29" s="11">
        <v>0</v>
      </c>
    </row>
    <row r="30" spans="2:3" x14ac:dyDescent="0.25">
      <c r="B30" s="8" t="s">
        <v>45</v>
      </c>
      <c r="C30" s="9" t="s">
        <v>22</v>
      </c>
    </row>
    <row r="32" spans="2:2" x14ac:dyDescent="0.25">
      <c r="B32" s="7" t="s">
        <v>46</v>
      </c>
    </row>
    <row r="33" spans="2:3" x14ac:dyDescent="0.25">
      <c r="B33" s="8" t="s">
        <v>47</v>
      </c>
      <c r="C33" s="9">
        <v>2026</v>
      </c>
    </row>
    <row r="34" spans="2:3" x14ac:dyDescent="0.25">
      <c r="B34" s="8" t="s">
        <v>48</v>
      </c>
      <c r="C34" s="12">
        <f>IF(C6="","",YEAR(C6)+7)</f>
        <v>0</v>
      </c>
    </row>
    <row r="35" spans="2:3" x14ac:dyDescent="0.25">
      <c r="B35" s="8" t="s">
        <v>49</v>
      </c>
      <c r="C35" s="12">
        <f>IF(OR(C11="Singapore Citizen",C11="Singapore PR"),"Yes","No")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FormatPr defaultRowHeight="15" outlineLevelRow="0" outlineLevelCol="0" x14ac:dyDescent="55"/>
  <cols>
    <col min="2" max="2" width="14" customWidth="1"/>
    <col min="3" max="3" width="48" customWidth="1"/>
    <col min="4" max="4" width="22" customWidth="1"/>
    <col min="5" max="5" width="44" customWidth="1"/>
    <col min="6" max="6" width="58" customWidth="1"/>
    <col min="7" max="7" width="14" customWidth="1"/>
  </cols>
  <sheetData>
    <row r="2" spans="2:2" x14ac:dyDescent="0.25">
      <c r="B2" s="1" t="s">
        <v>50</v>
      </c>
    </row>
    <row r="3" spans="2:2" x14ac:dyDescent="0.25">
      <c r="B3" s="2" t="s">
        <v>51</v>
      </c>
    </row>
    <row r="5" spans="2:7" x14ac:dyDescent="0.25">
      <c r="B5" s="13" t="s">
        <v>52</v>
      </c>
      <c r="C5" s="13" t="s">
        <v>53</v>
      </c>
      <c r="D5" s="13" t="s">
        <v>54</v>
      </c>
      <c r="E5" s="13" t="s">
        <v>55</v>
      </c>
      <c r="F5" s="13" t="s">
        <v>56</v>
      </c>
      <c r="G5" s="13" t="s">
        <v>57</v>
      </c>
    </row>
    <row r="6" spans="2:7" x14ac:dyDescent="0.25">
      <c r="B6" s="14" t="s">
        <v>58</v>
      </c>
      <c r="C6" s="4" t="s">
        <v>59</v>
      </c>
      <c r="D6" s="15" t="s">
        <v>60</v>
      </c>
      <c r="E6" s="4" t="s">
        <v>61</v>
      </c>
      <c r="F6" s="4" t="s">
        <v>62</v>
      </c>
      <c r="G6" s="15" t="s">
        <v>63</v>
      </c>
    </row>
    <row r="7" spans="2:7" x14ac:dyDescent="0.25">
      <c r="B7" s="14" t="s">
        <v>64</v>
      </c>
      <c r="C7" s="4" t="s">
        <v>65</v>
      </c>
      <c r="D7" s="15" t="s">
        <v>66</v>
      </c>
      <c r="E7" s="4" t="s">
        <v>67</v>
      </c>
      <c r="F7" s="4" t="s">
        <v>68</v>
      </c>
      <c r="G7" s="15" t="s">
        <v>63</v>
      </c>
    </row>
    <row r="8" spans="2:7" x14ac:dyDescent="0.25">
      <c r="B8" s="14" t="s">
        <v>69</v>
      </c>
      <c r="C8" s="4" t="s">
        <v>70</v>
      </c>
      <c r="D8" s="15" t="s">
        <v>71</v>
      </c>
      <c r="E8" s="4" t="s">
        <v>72</v>
      </c>
      <c r="F8" s="4" t="s">
        <v>73</v>
      </c>
      <c r="G8" s="15" t="s">
        <v>63</v>
      </c>
    </row>
    <row r="9" spans="2:7" x14ac:dyDescent="0.25">
      <c r="B9" s="14" t="s">
        <v>74</v>
      </c>
      <c r="C9" s="4" t="s">
        <v>75</v>
      </c>
      <c r="D9" s="15" t="s">
        <v>76</v>
      </c>
      <c r="E9" s="4" t="s">
        <v>77</v>
      </c>
      <c r="F9" s="4" t="s">
        <v>78</v>
      </c>
      <c r="G9" s="15" t="s">
        <v>63</v>
      </c>
    </row>
    <row r="10" spans="2:7" x14ac:dyDescent="0.25">
      <c r="B10" s="14" t="s">
        <v>79</v>
      </c>
      <c r="C10" s="4" t="s">
        <v>80</v>
      </c>
      <c r="D10" s="15" t="s">
        <v>81</v>
      </c>
      <c r="E10" s="4" t="s">
        <v>82</v>
      </c>
      <c r="F10" s="4" t="s">
        <v>83</v>
      </c>
      <c r="G10" s="15" t="s">
        <v>63</v>
      </c>
    </row>
    <row r="11" spans="2:7" x14ac:dyDescent="0.25">
      <c r="B11" s="14" t="s">
        <v>84</v>
      </c>
      <c r="C11" s="4" t="s">
        <v>85</v>
      </c>
      <c r="D11" s="15" t="s">
        <v>86</v>
      </c>
      <c r="E11" s="4" t="s">
        <v>87</v>
      </c>
      <c r="F11" s="4" t="s">
        <v>88</v>
      </c>
      <c r="G11" s="15" t="s">
        <v>63</v>
      </c>
    </row>
    <row r="13" spans="2:2" x14ac:dyDescent="0.25">
      <c r="B13" s="3" t="s">
        <v>89</v>
      </c>
    </row>
    <row r="14" spans="2:2" x14ac:dyDescent="0.25">
      <c r="B14" s="4" t="s">
        <v>90</v>
      </c>
    </row>
    <row r="15" spans="2:2" x14ac:dyDescent="0.25">
      <c r="B15" s="4" t="s">
        <v>91</v>
      </c>
    </row>
    <row r="16" spans="2:2" x14ac:dyDescent="0.25">
      <c r="B16" s="4" t="s">
        <v>92</v>
      </c>
    </row>
    <row r="17" spans="2:2" x14ac:dyDescent="0.25">
      <c r="B17" s="4" t="s">
        <v>93</v>
      </c>
    </row>
    <row r="18" spans="2:2" x14ac:dyDescent="0.25">
      <c r="B18" s="4" t="s">
        <v>94</v>
      </c>
    </row>
    <row r="19" spans="2:2" x14ac:dyDescent="0.25">
      <c r="B19" s="4" t="s">
        <v>95</v>
      </c>
    </row>
    <row r="20" spans="2:2" x14ac:dyDescent="0.25">
      <c r="B20" s="6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FormatPr defaultRowHeight="15" outlineLevelRow="0" outlineLevelCol="0" x14ac:dyDescent="55"/>
  <cols>
    <col min="2" max="2" width="5" customWidth="1"/>
    <col min="3" max="3" width="36" customWidth="1"/>
    <col min="4" max="4" width="20" customWidth="1"/>
    <col min="5" max="5" width="18" customWidth="1"/>
    <col min="6" max="6" width="24" customWidth="1"/>
    <col min="7" max="7" width="34" customWidth="1"/>
    <col min="8" max="8" width="40" customWidth="1"/>
  </cols>
  <sheetData>
    <row r="2" spans="2:2" x14ac:dyDescent="0.25">
      <c r="B2" s="1" t="s">
        <v>97</v>
      </c>
    </row>
    <row r="3" spans="2:2" x14ac:dyDescent="0.25">
      <c r="B3" s="2" t="s">
        <v>98</v>
      </c>
    </row>
    <row r="5" spans="2:8" x14ac:dyDescent="0.25">
      <c r="B5" s="13" t="s">
        <v>99</v>
      </c>
      <c r="C5" s="13" t="s">
        <v>100</v>
      </c>
      <c r="D5" s="13" t="s">
        <v>101</v>
      </c>
      <c r="E5" s="13" t="s">
        <v>102</v>
      </c>
      <c r="F5" s="13" t="s">
        <v>103</v>
      </c>
      <c r="G5" s="13" t="s">
        <v>104</v>
      </c>
      <c r="H5" s="13" t="s">
        <v>105</v>
      </c>
    </row>
    <row r="6" spans="2:8" x14ac:dyDescent="0.25">
      <c r="B6" s="4">
        <v>1</v>
      </c>
      <c r="C6" s="9" t="s">
        <v>22</v>
      </c>
      <c r="D6" s="9" t="s">
        <v>22</v>
      </c>
      <c r="E6" s="16">
        <f>IF(D6="","",IF(D6&lt;1,"&lt;1km",IF(D6&lt;=2,"1-2km","&gt;2km")))</f>
        <v>0</v>
      </c>
      <c r="F6" s="17" t="s">
        <v>22</v>
      </c>
      <c r="G6" s="17" t="s">
        <v>22</v>
      </c>
      <c r="H6" s="9" t="s">
        <v>22</v>
      </c>
    </row>
    <row r="7" spans="2:8" x14ac:dyDescent="0.25">
      <c r="B7" s="4">
        <v>2</v>
      </c>
      <c r="C7" s="9" t="s">
        <v>22</v>
      </c>
      <c r="D7" s="9" t="s">
        <v>22</v>
      </c>
      <c r="E7" s="16">
        <f>IF(D7="","",IF(D7&lt;1,"&lt;1km",IF(D7&lt;=2,"1-2km","&gt;2km")))</f>
        <v>0</v>
      </c>
      <c r="F7" s="17" t="s">
        <v>22</v>
      </c>
      <c r="G7" s="17" t="s">
        <v>22</v>
      </c>
      <c r="H7" s="9" t="s">
        <v>22</v>
      </c>
    </row>
    <row r="8" spans="2:8" x14ac:dyDescent="0.25">
      <c r="B8" s="4">
        <v>3</v>
      </c>
      <c r="C8" s="9" t="s">
        <v>22</v>
      </c>
      <c r="D8" s="9" t="s">
        <v>22</v>
      </c>
      <c r="E8" s="16">
        <f>IF(D8="","",IF(D8&lt;1,"&lt;1km",IF(D8&lt;=2,"1-2km","&gt;2km")))</f>
        <v>0</v>
      </c>
      <c r="F8" s="17" t="s">
        <v>22</v>
      </c>
      <c r="G8" s="17" t="s">
        <v>22</v>
      </c>
      <c r="H8" s="9" t="s">
        <v>22</v>
      </c>
    </row>
    <row r="9" spans="2:8" x14ac:dyDescent="0.25">
      <c r="B9" s="4">
        <v>4</v>
      </c>
      <c r="C9" s="9" t="s">
        <v>22</v>
      </c>
      <c r="D9" s="9" t="s">
        <v>22</v>
      </c>
      <c r="E9" s="16">
        <f>IF(D9="","",IF(D9&lt;1,"&lt;1km",IF(D9&lt;=2,"1-2km","&gt;2km")))</f>
        <v>0</v>
      </c>
      <c r="F9" s="17" t="s">
        <v>22</v>
      </c>
      <c r="G9" s="17" t="s">
        <v>22</v>
      </c>
      <c r="H9" s="9" t="s">
        <v>22</v>
      </c>
    </row>
    <row r="10" spans="2:8" x14ac:dyDescent="0.25">
      <c r="B10" s="4">
        <v>5</v>
      </c>
      <c r="C10" s="9" t="s">
        <v>22</v>
      </c>
      <c r="D10" s="9" t="s">
        <v>22</v>
      </c>
      <c r="E10" s="16">
        <f>IF(D10="","",IF(D10&lt;1,"&lt;1km",IF(D10&lt;=2,"1-2km","&gt;2km")))</f>
        <v>0</v>
      </c>
      <c r="F10" s="17" t="s">
        <v>22</v>
      </c>
      <c r="G10" s="17" t="s">
        <v>22</v>
      </c>
      <c r="H10" s="9" t="s">
        <v>22</v>
      </c>
    </row>
    <row r="11" spans="2:8" x14ac:dyDescent="0.25">
      <c r="B11" s="4">
        <v>6</v>
      </c>
      <c r="C11" s="9" t="s">
        <v>22</v>
      </c>
      <c r="D11" s="9" t="s">
        <v>22</v>
      </c>
      <c r="E11" s="16">
        <f>IF(D11="","",IF(D11&lt;1,"&lt;1km",IF(D11&lt;=2,"1-2km","&gt;2km")))</f>
        <v>0</v>
      </c>
      <c r="F11" s="17" t="s">
        <v>22</v>
      </c>
      <c r="G11" s="17" t="s">
        <v>22</v>
      </c>
      <c r="H11" s="9" t="s">
        <v>22</v>
      </c>
    </row>
    <row r="12" spans="2:8" x14ac:dyDescent="0.25">
      <c r="B12" s="4">
        <v>7</v>
      </c>
      <c r="C12" s="9" t="s">
        <v>22</v>
      </c>
      <c r="D12" s="9" t="s">
        <v>22</v>
      </c>
      <c r="E12" s="16">
        <f>IF(D12="","",IF(D12&lt;1,"&lt;1km",IF(D12&lt;=2,"1-2km","&gt;2km")))</f>
        <v>0</v>
      </c>
      <c r="F12" s="17" t="s">
        <v>22</v>
      </c>
      <c r="G12" s="17" t="s">
        <v>22</v>
      </c>
      <c r="H12" s="9" t="s">
        <v>22</v>
      </c>
    </row>
    <row r="13" spans="2:8" x14ac:dyDescent="0.25">
      <c r="B13" s="4">
        <v>8</v>
      </c>
      <c r="C13" s="9" t="s">
        <v>22</v>
      </c>
      <c r="D13" s="9" t="s">
        <v>22</v>
      </c>
      <c r="E13" s="16">
        <f>IF(D13="","",IF(D13&lt;1,"&lt;1km",IF(D13&lt;=2,"1-2km","&gt;2km")))</f>
        <v>0</v>
      </c>
      <c r="F13" s="17" t="s">
        <v>22</v>
      </c>
      <c r="G13" s="17" t="s">
        <v>22</v>
      </c>
      <c r="H13" s="9" t="s">
        <v>22</v>
      </c>
    </row>
    <row r="14" spans="2:8" x14ac:dyDescent="0.25">
      <c r="B14" s="4">
        <v>9</v>
      </c>
      <c r="C14" s="9" t="s">
        <v>22</v>
      </c>
      <c r="D14" s="9" t="s">
        <v>22</v>
      </c>
      <c r="E14" s="16">
        <f>IF(D14="","",IF(D14&lt;1,"&lt;1km",IF(D14&lt;=2,"1-2km","&gt;2km")))</f>
        <v>0</v>
      </c>
      <c r="F14" s="17" t="s">
        <v>22</v>
      </c>
      <c r="G14" s="17" t="s">
        <v>22</v>
      </c>
      <c r="H14" s="9" t="s">
        <v>22</v>
      </c>
    </row>
    <row r="15" spans="2:8" x14ac:dyDescent="0.25">
      <c r="B15" s="4">
        <v>10</v>
      </c>
      <c r="C15" s="9" t="s">
        <v>22</v>
      </c>
      <c r="D15" s="9" t="s">
        <v>22</v>
      </c>
      <c r="E15" s="16">
        <f>IF(D15="","",IF(D15&lt;1,"&lt;1km",IF(D15&lt;=2,"1-2km","&gt;2km")))</f>
        <v>0</v>
      </c>
      <c r="F15" s="17" t="s">
        <v>22</v>
      </c>
      <c r="G15" s="17" t="s">
        <v>22</v>
      </c>
      <c r="H15" s="9" t="s">
        <v>22</v>
      </c>
    </row>
    <row r="18" spans="2:2" x14ac:dyDescent="0.25">
      <c r="B18" s="3" t="s">
        <v>106</v>
      </c>
    </row>
    <row r="19" spans="2:2" x14ac:dyDescent="0.25">
      <c r="B19" s="4" t="s">
        <v>107</v>
      </c>
    </row>
    <row r="20" spans="2:2" x14ac:dyDescent="0.25">
      <c r="B20" s="4" t="s">
        <v>108</v>
      </c>
    </row>
    <row r="21" spans="2:2" x14ac:dyDescent="0.25">
      <c r="B21" s="4" t="s">
        <v>109</v>
      </c>
    </row>
    <row r="22" spans="2:2" x14ac:dyDescent="0.25">
      <c r="B22" s="6" t="s">
        <v>110</v>
      </c>
    </row>
  </sheetData>
  <dataValidations count="3">
    <dataValidation type="list" allowBlank="1" showErrorMessage="1" errorTitle="Invalid Category" sqref="E6:E15">
      <formula1>"&lt;1km,1-2km,&gt;2km,Unknown"</formula1>
    </dataValidation>
    <dataValidation type="list" allowBlank="1" showErrorMessage="1" errorTitle="Invalid Phase" sqref="F6:F15">
      <formula1>"Phase 1,Phase 2A,Phase 2B,Phase 2C,Phase 2C Supplementary,Phase 3"</formula1>
    </dataValidation>
    <dataValidation type="list" allowBlank="1" showErrorMessage="1" errorTitle="Invalid Priority" sqref="G6:G15">
      <formula1>"High — guaranteed/strong chance,Medium — balloting likely,Low — long shot,Exploratory — just researching"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FormatPr defaultRowHeight="15" outlineLevelRow="0" outlineLevelCol="0" x14ac:dyDescent="55"/>
  <cols>
    <col min="2" max="2" width="5" customWidth="1"/>
    <col min="3" max="3" width="48" customWidth="1"/>
    <col min="4" max="4" width="28" customWidth="1"/>
    <col min="5" max="5" width="14" customWidth="1"/>
    <col min="6" max="6" width="16" customWidth="1"/>
    <col min="7" max="7" width="14" customWidth="1"/>
    <col min="8" max="8" width="40" customWidth="1"/>
  </cols>
  <sheetData>
    <row r="2" spans="2:2" x14ac:dyDescent="0.25">
      <c r="B2" s="1" t="s">
        <v>111</v>
      </c>
    </row>
    <row r="3" spans="2:2" x14ac:dyDescent="0.25">
      <c r="B3" s="2" t="s">
        <v>112</v>
      </c>
    </row>
    <row r="5" spans="2:8" x14ac:dyDescent="0.25">
      <c r="B5" s="13" t="s">
        <v>99</v>
      </c>
      <c r="C5" s="13" t="s">
        <v>113</v>
      </c>
      <c r="D5" s="13" t="s">
        <v>114</v>
      </c>
      <c r="E5" s="13" t="s">
        <v>115</v>
      </c>
      <c r="F5" s="13" t="s">
        <v>116</v>
      </c>
      <c r="G5" s="13" t="s">
        <v>117</v>
      </c>
      <c r="H5" s="13" t="s">
        <v>118</v>
      </c>
    </row>
    <row r="6" spans="2:8" x14ac:dyDescent="0.25">
      <c r="B6" s="4">
        <v>1</v>
      </c>
      <c r="C6" s="9" t="s">
        <v>119</v>
      </c>
      <c r="D6" s="9" t="s">
        <v>120</v>
      </c>
      <c r="E6" s="17" t="s">
        <v>121</v>
      </c>
      <c r="F6" s="17" t="s">
        <v>22</v>
      </c>
      <c r="G6" s="9" t="s">
        <v>22</v>
      </c>
      <c r="H6" s="9" t="s">
        <v>122</v>
      </c>
    </row>
    <row r="7" spans="2:8" x14ac:dyDescent="0.25">
      <c r="B7" s="4">
        <v>2</v>
      </c>
      <c r="C7" s="9" t="s">
        <v>123</v>
      </c>
      <c r="D7" s="9" t="s">
        <v>120</v>
      </c>
      <c r="E7" s="17" t="s">
        <v>121</v>
      </c>
      <c r="F7" s="17" t="s">
        <v>22</v>
      </c>
      <c r="G7" s="9" t="s">
        <v>22</v>
      </c>
      <c r="H7" s="9" t="s">
        <v>124</v>
      </c>
    </row>
    <row r="8" spans="2:8" x14ac:dyDescent="0.25">
      <c r="B8" s="4">
        <v>3</v>
      </c>
      <c r="C8" s="9" t="s">
        <v>125</v>
      </c>
      <c r="D8" s="9" t="s">
        <v>126</v>
      </c>
      <c r="E8" s="17" t="s">
        <v>121</v>
      </c>
      <c r="F8" s="17" t="s">
        <v>22</v>
      </c>
      <c r="G8" s="9" t="s">
        <v>22</v>
      </c>
      <c r="H8" s="9" t="s">
        <v>127</v>
      </c>
    </row>
    <row r="9" spans="2:8" x14ac:dyDescent="0.25">
      <c r="B9" s="4">
        <v>4</v>
      </c>
      <c r="C9" s="9" t="s">
        <v>128</v>
      </c>
      <c r="D9" s="9" t="s">
        <v>129</v>
      </c>
      <c r="E9" s="17" t="s">
        <v>121</v>
      </c>
      <c r="F9" s="17" t="s">
        <v>22</v>
      </c>
      <c r="G9" s="9" t="s">
        <v>22</v>
      </c>
      <c r="H9" s="9" t="s">
        <v>130</v>
      </c>
    </row>
    <row r="10" spans="2:8" x14ac:dyDescent="0.25">
      <c r="B10" s="4">
        <v>5</v>
      </c>
      <c r="C10" s="9" t="s">
        <v>131</v>
      </c>
      <c r="D10" s="9" t="s">
        <v>132</v>
      </c>
      <c r="E10" s="17" t="s">
        <v>121</v>
      </c>
      <c r="F10" s="17" t="s">
        <v>22</v>
      </c>
      <c r="G10" s="9" t="s">
        <v>22</v>
      </c>
      <c r="H10" s="9" t="s">
        <v>133</v>
      </c>
    </row>
    <row r="11" spans="2:8" x14ac:dyDescent="0.25">
      <c r="B11" s="4">
        <v>6</v>
      </c>
      <c r="C11" s="9" t="s">
        <v>134</v>
      </c>
      <c r="D11" s="9" t="s">
        <v>135</v>
      </c>
      <c r="E11" s="17" t="s">
        <v>136</v>
      </c>
      <c r="F11" s="17" t="s">
        <v>22</v>
      </c>
      <c r="G11" s="9" t="s">
        <v>22</v>
      </c>
      <c r="H11" s="9" t="s">
        <v>137</v>
      </c>
    </row>
    <row r="12" spans="2:8" x14ac:dyDescent="0.25">
      <c r="B12" s="4">
        <v>7</v>
      </c>
      <c r="C12" s="9" t="s">
        <v>138</v>
      </c>
      <c r="D12" s="9" t="s">
        <v>139</v>
      </c>
      <c r="E12" s="17" t="s">
        <v>121</v>
      </c>
      <c r="F12" s="17" t="s">
        <v>22</v>
      </c>
      <c r="G12" s="9" t="s">
        <v>22</v>
      </c>
      <c r="H12" s="9" t="s">
        <v>140</v>
      </c>
    </row>
    <row r="13" spans="2:8" x14ac:dyDescent="0.25">
      <c r="B13" s="4">
        <v>8</v>
      </c>
      <c r="C13" s="9" t="s">
        <v>141</v>
      </c>
      <c r="D13" s="9" t="s">
        <v>142</v>
      </c>
      <c r="E13" s="17" t="s">
        <v>121</v>
      </c>
      <c r="F13" s="17" t="s">
        <v>22</v>
      </c>
      <c r="G13" s="9" t="s">
        <v>22</v>
      </c>
      <c r="H13" s="9" t="s">
        <v>143</v>
      </c>
    </row>
    <row r="14" spans="2:8" x14ac:dyDescent="0.25">
      <c r="B14" s="4">
        <v>9</v>
      </c>
      <c r="C14" s="9" t="s">
        <v>144</v>
      </c>
      <c r="D14" s="9" t="s">
        <v>145</v>
      </c>
      <c r="E14" s="17" t="s">
        <v>121</v>
      </c>
      <c r="F14" s="17" t="s">
        <v>22</v>
      </c>
      <c r="G14" s="9" t="s">
        <v>22</v>
      </c>
      <c r="H14" s="9" t="s">
        <v>143</v>
      </c>
    </row>
    <row r="15" spans="2:8" x14ac:dyDescent="0.25">
      <c r="B15" s="4">
        <v>10</v>
      </c>
      <c r="C15" s="9" t="s">
        <v>146</v>
      </c>
      <c r="D15" s="9" t="s">
        <v>147</v>
      </c>
      <c r="E15" s="17" t="s">
        <v>121</v>
      </c>
      <c r="F15" s="17" t="s">
        <v>22</v>
      </c>
      <c r="G15" s="9" t="s">
        <v>22</v>
      </c>
      <c r="H15" s="9" t="s">
        <v>143</v>
      </c>
    </row>
    <row r="16" spans="2:8" x14ac:dyDescent="0.25">
      <c r="B16" s="4">
        <v>11</v>
      </c>
      <c r="C16" s="9" t="s">
        <v>148</v>
      </c>
      <c r="D16" s="9" t="s">
        <v>149</v>
      </c>
      <c r="E16" s="17" t="s">
        <v>121</v>
      </c>
      <c r="F16" s="17" t="s">
        <v>22</v>
      </c>
      <c r="G16" s="9" t="s">
        <v>22</v>
      </c>
      <c r="H16" s="9" t="s">
        <v>143</v>
      </c>
    </row>
    <row r="17" spans="2:8" x14ac:dyDescent="0.25">
      <c r="B17" s="4">
        <v>12</v>
      </c>
      <c r="C17" s="9" t="s">
        <v>150</v>
      </c>
      <c r="D17" s="9" t="s">
        <v>151</v>
      </c>
      <c r="E17" s="17" t="s">
        <v>121</v>
      </c>
      <c r="F17" s="17" t="s">
        <v>22</v>
      </c>
      <c r="G17" s="9" t="s">
        <v>22</v>
      </c>
      <c r="H17" s="9" t="s">
        <v>152</v>
      </c>
    </row>
    <row r="18" spans="2:8" x14ac:dyDescent="0.25">
      <c r="B18" s="4">
        <v>13</v>
      </c>
      <c r="C18" s="9" t="s">
        <v>153</v>
      </c>
      <c r="D18" s="9" t="s">
        <v>154</v>
      </c>
      <c r="E18" s="17" t="s">
        <v>121</v>
      </c>
      <c r="F18" s="17" t="s">
        <v>22</v>
      </c>
      <c r="G18" s="9" t="s">
        <v>22</v>
      </c>
      <c r="H18" s="9" t="s">
        <v>143</v>
      </c>
    </row>
    <row r="19" spans="2:8" x14ac:dyDescent="0.25">
      <c r="B19" s="4">
        <v>14</v>
      </c>
      <c r="C19" s="9" t="s">
        <v>155</v>
      </c>
      <c r="D19" s="9" t="s">
        <v>156</v>
      </c>
      <c r="E19" s="17" t="s">
        <v>136</v>
      </c>
      <c r="F19" s="17" t="s">
        <v>22</v>
      </c>
      <c r="G19" s="9" t="s">
        <v>22</v>
      </c>
      <c r="H19" s="9" t="s">
        <v>157</v>
      </c>
    </row>
    <row r="20" spans="2:8" x14ac:dyDescent="0.25">
      <c r="B20" s="4">
        <v>15</v>
      </c>
      <c r="C20" s="9" t="s">
        <v>158</v>
      </c>
      <c r="D20" s="9" t="s">
        <v>159</v>
      </c>
      <c r="E20" s="17" t="s">
        <v>121</v>
      </c>
      <c r="F20" s="17" t="s">
        <v>22</v>
      </c>
      <c r="G20" s="9" t="s">
        <v>22</v>
      </c>
      <c r="H20" s="9" t="s">
        <v>160</v>
      </c>
    </row>
    <row r="23" spans="2:2" x14ac:dyDescent="0.25">
      <c r="B23" s="7" t="s">
        <v>161</v>
      </c>
    </row>
    <row r="24" spans="2:3" x14ac:dyDescent="0.25">
      <c r="B24" s="4" t="s">
        <v>162</v>
      </c>
      <c r="C24" s="10">
        <f>COUNTA(C6:C20)</f>
        <v>0</v>
      </c>
    </row>
    <row r="25" spans="2:3" x14ac:dyDescent="0.25">
      <c r="B25" s="4" t="s">
        <v>163</v>
      </c>
      <c r="C25" s="18">
        <f>COUNTIF(E6:E20,"High")</f>
        <v>0</v>
      </c>
    </row>
    <row r="26" spans="2:3" x14ac:dyDescent="0.25">
      <c r="B26" s="4" t="s">
        <v>164</v>
      </c>
      <c r="C26" s="10">
        <f>COUNTIF(F6:F20,"Not Started")</f>
        <v>0</v>
      </c>
    </row>
    <row r="27" spans="2:3" x14ac:dyDescent="0.25">
      <c r="B27" s="4" t="s">
        <v>165</v>
      </c>
      <c r="C27" s="19">
        <f>COUNTIF(F6:F20,"In Progress")</f>
        <v>0</v>
      </c>
    </row>
    <row r="28" spans="2:3" x14ac:dyDescent="0.25">
      <c r="B28" s="4" t="s">
        <v>166</v>
      </c>
      <c r="C28" s="20">
        <f>COUNTIF(F6:F20,"Done")</f>
        <v>0</v>
      </c>
    </row>
    <row r="29" spans="2:3" x14ac:dyDescent="0.25">
      <c r="B29" s="4" t="s">
        <v>167</v>
      </c>
      <c r="C29" s="18">
        <f>COUNTIF(F6:F20,"Blocked")</f>
        <v>0</v>
      </c>
    </row>
  </sheetData>
  <dataValidations count="2">
    <dataValidation type="list" allowBlank="1" showErrorMessage="1" errorTitle="Invalid Priority" sqref="E6:E20">
      <formula1>"High,Medium,Low"</formula1>
    </dataValidation>
    <dataValidation type="list" allowBlank="1" showErrorMessage="1" errorTitle="Invalid Status" sqref="F6:F20">
      <formula1>"Not Started,In Progress,Done,Blocked,N/A"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PROFILE</vt:lpstr>
      <vt:lpstr>PHASE MAP</vt:lpstr>
      <vt:lpstr>DISTANCE &amp; PRIORITY</vt:lpstr>
      <vt:lpstr>ACTION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SGEventsHub</dc:creator>
  <dc:title/>
  <dc:subject/>
  <dc:description/>
  <cp:keywords/>
  <cp:category/>
  <cp:lastModifiedBy>Unknown</cp:lastModifiedBy>
  <dcterms:created xsi:type="dcterms:W3CDTF">2026-09-08T04:52:03Z</dcterms:created>
  <dcterms:modified xsi:type="dcterms:W3CDTF">2026-09-08T04:52:03Z</dcterms:modified>
</cp:coreProperties>
</file>