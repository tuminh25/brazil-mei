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 HERE" sheetId="1" r:id="rId1"/>
    <sheet name="INPUTS" sheetId="2" r:id="rId2"/>
    <sheet name="CALCULATOR" sheetId="3" r:id="rId3"/>
    <sheet name="RESUL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S$&quot;#,##0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26.83203125" customWidth="1"/>
    <col min="2" max="2" width="108.83203125" customWidth="1"/>
  </cols>
  <sheetData>
    <row r="2">
      <c r="B2" t="str">
        <v>Singapore Wedding Cashflow &amp; Ang Bao Planner</v>
      </c>
    </row>
    <row r="3">
      <c r="B3" t="str">
        <v>2026 Edition — understand whether your wedding budget is financially comfortable under different guest and ang bao scenarios.</v>
      </c>
    </row>
    <row r="5">
      <c r="B5" t="str">
        <v>THE PROBLEM</v>
      </c>
    </row>
    <row r="6">
      <c r="B6" t="str">
        <v>The article gives cost ranges and ang bao norms, but working out YOUR own numbers — what your banquet actually costs with GST and service charge, what you can realistically expect from guests, and whether you would be in surplus or shortfall — still requires tedious calculation. This workbook does it for you, with honest scenario planning.</v>
      </c>
    </row>
    <row r="8">
      <c r="B8" t="str">
        <v>WHAT THIS WORKBOOK DOES</v>
      </c>
    </row>
    <row r="9">
      <c r="B9" t="str">
        <v>• INPUTS — guests, tables, package price, service charge, GST, and every non-banquet cost (bridal, photography, videography, décor, rings, attire, invitations, transport, etc.).</v>
      </c>
    </row>
    <row r="10">
      <c r="B10" t="str">
        <v>• CALCULATOR — total expenditure, three ang bao scenarios (conservative / expected / optimistic), surplus or shortfall for each, and break-even points.</v>
      </c>
    </row>
    <row r="11">
      <c r="B11" t="str">
        <v>• RESULTS — a dashboard of total budget, banquet vs non-banquet split, expected ang bao, break-even, upfront cash requirement and a payment milestones timeline.</v>
      </c>
    </row>
    <row r="14">
      <c r="B14" t="str">
        <v>HOW TO USE — 3 STEPS</v>
      </c>
    </row>
    <row r="15">
      <c r="B15" t="str">
        <v>STEP 1 · Go to INPUTS and enter your real numbers and quotes. Set your three ang bao per-guest assumptions on INPUTS too.</v>
      </c>
    </row>
    <row r="16">
      <c r="B16" t="str">
        <v>STEP 2 · Review CALCULATOR. See which scenario leaves you short or in surplus, and the break-even ang bao.</v>
      </c>
    </row>
    <row r="17">
      <c r="B17" t="str">
        <v>STEP 3 · Use RESULTS to build your upfront cash reserve and payment timeline — and never let the budget depend on guests funding it.</v>
      </c>
    </row>
    <row r="19">
      <c r="B19" t="str">
        <v>WHAT IS ESTIMATED vs OFFICIAL vs PLANNING ASSUMPTION vs MARKET ESTIMATE vs USER INPUT</v>
      </c>
    </row>
    <row r="20">
      <c r="B20" t="str">
        <v>• Ang bao income is a SCENARIO / estimate — NEVER a guarantee. Treat it as a planning scenario, not a funding source.</v>
      </c>
    </row>
    <row r="21">
      <c r="B21" t="str">
        <v>• GST rate (9% from 2024) and service-charge practice (typically 10%) are official/venue facts — verify current rates with your venue and IRAS.</v>
      </c>
    </row>
    <row r="22">
      <c r="B22" t="str">
        <v>• Per-guest ang bao amounts are market estimates you control via the INPUTS assumptions.</v>
      </c>
    </row>
    <row r="23">
      <c r="B23" t="str">
        <v>• Default non-banquet cost figures (bridal, photography, etc.) are planning assumptions / market estimates — replace with your actual quotes.</v>
      </c>
    </row>
    <row r="24">
      <c r="B24" t="str">
        <v>LIMITATIONS &amp; DISCLAIMER</v>
      </c>
    </row>
    <row r="25">
      <c r="B25" t="str">
        <v>This tool is for cashflow planning, not prediction. It does not guarantee any ang bao outcome or any wedding surplus. Confirm GST and service-charge terms with your venue before committing.</v>
      </c>
    </row>
    <row r="27">
      <c r="B27" t="str">
        <v>Yellow = editable input · Green = auto-calculated · Do not type into green cells.</v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42.83203125" customWidth="1"/>
    <col min="2" max="2" width="40.83203125" customWidth="1"/>
    <col min="3" max="3" width="16.83203125" customWidth="1"/>
    <col min="4" max="4" width="40.83203125" customWidth="1"/>
  </cols>
  <sheetData>
    <row r="2">
      <c r="B2" t="str">
        <v>STEP 1 · YOUR WEDDING NUMBERS</v>
      </c>
    </row>
    <row r="3">
      <c r="B3" t="str">
        <v>Edit ONLY the yellow cells. Set ang bao per-guest assumptions at the bottom.</v>
      </c>
    </row>
    <row r="5">
      <c r="B5" t="str">
        <v>BANQUET DETAILS</v>
      </c>
    </row>
    <row r="6">
      <c r="B6" t="str">
        <v>Number of guests</v>
      </c>
      <c r="C6">
        <v>300</v>
      </c>
    </row>
    <row r="7">
      <c r="B7" t="str">
        <v>Guests per table</v>
      </c>
      <c r="C7">
        <v>10</v>
      </c>
    </row>
    <row r="8">
      <c r="B8" t="str">
        <v>Package price per table (S$) — Market estimate</v>
      </c>
      <c r="C8" s="1">
        <v>1288</v>
      </c>
      <c r="D8" t="str">
        <v>Confirm with your venue — this is an example only</v>
      </c>
    </row>
    <row r="9">
      <c r="B9" t="str">
        <v>Service charge</v>
      </c>
      <c r="C9" s="2">
        <v>0.1</v>
      </c>
      <c r="D9" t="str">
        <v>Usually 10% — check venue</v>
      </c>
    </row>
    <row r="10">
      <c r="B10" t="str">
        <v>GST</v>
      </c>
      <c r="C10" s="2">
        <v>0.09</v>
      </c>
      <c r="D10" t="str">
        <v>Official rate 9% from 2024 — verify with IRAS/venue</v>
      </c>
    </row>
    <row r="12">
      <c r="B12" t="str">
        <v>NON-BANQUET COSTS (S$) — Planning assumptions / Market estimates</v>
      </c>
    </row>
    <row r="13">
      <c r="B13" t="str">
        <v>Bridal package (gown, suit, makeup, hair)</v>
      </c>
      <c r="C13" s="1">
        <v>4000</v>
      </c>
    </row>
    <row r="14">
      <c r="B14" t="str">
        <v>Photography</v>
      </c>
      <c r="C14" s="1">
        <v>3500</v>
      </c>
    </row>
    <row r="15">
      <c r="B15" t="str">
        <v>Videography</v>
      </c>
      <c r="C15" s="1">
        <v>2500</v>
      </c>
    </row>
    <row r="16">
      <c r="B16" t="str">
        <v>Décor (beyond venue-provided)</v>
      </c>
      <c r="C16" s="1">
        <v>1500</v>
      </c>
    </row>
    <row r="17">
      <c r="B17" t="str">
        <v>Rings</v>
      </c>
      <c r="C17" s="1">
        <v>3000</v>
      </c>
    </row>
    <row r="18">
      <c r="B18" t="str">
        <v>Attire / extra outfits</v>
      </c>
      <c r="C18" s="1">
        <v>1200</v>
      </c>
    </row>
    <row r="19">
      <c r="B19" t="str">
        <v>Invitations &amp; stationery</v>
      </c>
      <c r="C19" s="1">
        <v>500</v>
      </c>
    </row>
    <row r="20">
      <c r="B20" t="str">
        <v>Solemnisation / ROM</v>
      </c>
      <c r="C20" s="1">
        <v>100</v>
      </c>
    </row>
    <row r="21">
      <c r="B21" t="str">
        <v>Transport</v>
      </c>
      <c r="C21" s="1">
        <v>800</v>
      </c>
    </row>
    <row r="22">
      <c r="B22" t="str">
        <v>Cultural items / customs</v>
      </c>
      <c r="C22" s="1">
        <v>1500</v>
      </c>
    </row>
    <row r="23">
      <c r="B23" t="str">
        <v>Miscellaneous</v>
      </c>
      <c r="C23" s="1">
        <v>800</v>
      </c>
    </row>
    <row r="24">
      <c r="B24" t="str">
        <v>User-defined expenses</v>
      </c>
      <c r="C24" s="1">
        <v>0</v>
      </c>
    </row>
    <row r="25">
      <c r="B25" t="str">
        <v>TOTAL NON-BANQUET COST</v>
      </c>
      <c r="C25" s="1">
        <f>SUM(C13:C24)</f>
        <v>0</v>
      </c>
    </row>
    <row r="27">
      <c r="B27" t="str">
        <v>ANG BAO SCENARIOS · per guest (S$)</v>
      </c>
    </row>
    <row r="28">
      <c r="B28" t="str">
        <v>Your assumptions: how much ang bao, on average, per guest in each scenario. Update these freely.</v>
      </c>
    </row>
    <row r="29">
      <c r="B29" t="str">
        <v>Conservative (per guest)</v>
      </c>
      <c r="C29" s="1">
        <v>100</v>
      </c>
    </row>
    <row r="30">
      <c r="B30" t="str">
        <v>Expected (per guest)</v>
      </c>
      <c r="C30" s="1">
        <v>150</v>
      </c>
    </row>
    <row r="31">
      <c r="B31" t="str">
        <v>Optimistic (per guest)</v>
      </c>
      <c r="C31" s="1">
        <v>220</v>
      </c>
    </row>
  </sheetData>
  <ignoredErrors>
    <ignoredError numberStoredAsText="1" sqref="A1:D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46.83203125" customWidth="1"/>
    <col min="2" max="2" width="34.83203125" customWidth="1"/>
    <col min="3" max="3" width="24.83203125" customWidth="1"/>
    <col min="4" max="4" width="60.83203125" customWidth="1"/>
  </cols>
  <sheetData>
    <row r="2">
      <c r="B2" t="str">
        <v>STEP 2 · YOUR NUMBERS, SCENARIOS &amp; BREAK-EVEN</v>
      </c>
    </row>
    <row r="3">
      <c r="B3" t="str">
        <v>Everything updates from INPUTS. Green cells calculate automatically.</v>
      </c>
    </row>
    <row r="5">
      <c r="B5" t="str">
        <v>TOTALS</v>
      </c>
    </row>
    <row r="6">
      <c r="B6" t="str">
        <v>Estimated banquet cost (GST &amp; service charge in)</v>
      </c>
      <c r="C6" s="1">
        <f>ROUND(INPUTS!C8*ROUND(INPUTS!C6/INPUTS!C7,0)*(1+INPUTS!C9)*(1+INPUTS!C10),0)</f>
        <v>0</v>
      </c>
      <c r="D6" t="str">
        <v>ROUND(INPUTS!C6/INPUTS!C7,0) tables approx</v>
      </c>
    </row>
    <row r="7">
      <c r="B7" t="str">
        <v>Non-banquet cost</v>
      </c>
      <c r="C7" s="1">
        <f>INPUTS!C25</f>
        <v>0</v>
      </c>
    </row>
    <row r="8">
      <c r="B8" t="str">
        <v>TOTAL ESTIMATED EXPENDITURE</v>
      </c>
      <c r="C8" s="1">
        <f>ROUND(ROUND(INPUTS!C8*ROUND(INPUTS!C6/INPUTS!C7,0)*(1+INPUTS!C9)*(1+INPUTS!C10),0)+INPUTS!C25,0)</f>
        <v>0</v>
      </c>
    </row>
    <row r="10">
      <c r="B10" t="str">
        <v>ANG BAO SCENARIOS (estimates — not guarantees)</v>
      </c>
    </row>
    <row r="11">
      <c r="B11" t="str">
        <v>Scenario</v>
      </c>
      <c r="C11" t="str">
        <v>Per guest</v>
      </c>
      <c r="D11" t="str">
        <v>Ang bao received</v>
      </c>
      <c r="E11" t="str">
        <v>Surplus (+) / Shortfall (−)</v>
      </c>
    </row>
    <row r="12">
      <c r="B12" t="str">
        <v>Conservative</v>
      </c>
      <c r="C12" s="1">
        <f>ROUND(INPUTS!C29,0)</f>
        <v>0</v>
      </c>
      <c r="D12" s="1">
        <f>ROUND(INPUTS!C6*INPUTS!C29,0)</f>
        <v>0</v>
      </c>
      <c r="E12" s="1">
        <f>ROUND(D12-$C8,0)</f>
        <v>0</v>
      </c>
    </row>
    <row r="13">
      <c r="B13" t="str">
        <v>Expected</v>
      </c>
      <c r="C13" s="1">
        <f>ROUND(INPUTS!C30,0)</f>
        <v>0</v>
      </c>
      <c r="D13" s="1">
        <f>ROUND(INPUTS!C6*INPUTS!C30,0)</f>
        <v>0</v>
      </c>
      <c r="E13" s="1">
        <f>ROUND(D13-$C8,0)</f>
        <v>0</v>
      </c>
    </row>
    <row r="14">
      <c r="B14" t="str">
        <v>Optimistic</v>
      </c>
      <c r="C14" s="1">
        <f>ROUND(INPUTS!C31,0)</f>
        <v>0</v>
      </c>
      <c r="D14" s="1">
        <f>ROUND(INPUTS!C6*INPUTS!C31,0)</f>
        <v>0</v>
      </c>
      <c r="E14" s="1">
        <f>ROUND(D14-$C8,0)</f>
        <v>0</v>
      </c>
    </row>
    <row r="16">
      <c r="B16" t="str">
        <v>BREAK-EVEN POINTS</v>
      </c>
    </row>
    <row r="17">
      <c r="B17" t="str">
        <v>Break-even average ang bao per guest (to cover TOTAL expenditure)</v>
      </c>
      <c r="C17" s="1">
        <f>IF(INPUTS!C6=0,0,C8/INPUTS!C6)</f>
        <v>0</v>
      </c>
      <c r="D17" t="str">
        <v>If this exceeds your expected scenario, the budget depends on above-average ang bao</v>
      </c>
    </row>
    <row r="18">
      <c r="B18" t="str">
        <v>Break-even ang bao to cover banquet ONLY</v>
      </c>
      <c r="C18" s="1">
        <f>IF(INPUTS!C6=0,0,C6/INPUTS!C6)</f>
        <v>0</v>
      </c>
      <c r="D18" t="str">
        <v>Banquet ÷ guests</v>
      </c>
    </row>
    <row r="19">
      <c r="B19" t="str">
        <v>Break-even guest count (expected scenario)</v>
      </c>
      <c r="C19">
        <f>IF(INPUTS!C30=0,0,C8/INPUTS!C30)</f>
        <v>0</v>
      </c>
      <c r="D19" t="str">
        <v>Guests needed at expected ang bao to cover total cost</v>
      </c>
    </row>
    <row r="21">
      <c r="B21" t="str">
        <v>UPFRONT CASH &amp; TIMELINE</v>
      </c>
    </row>
    <row r="22">
      <c r="B22" t="str">
        <v>Upfront cash to secure BEFORE the day (total − expected ang bao)</v>
      </c>
      <c r="C22" s="1">
        <f>MAX(0,C8-D13)</f>
        <v>0</v>
      </c>
      <c r="D22" t="str">
        <v>Ang bao arrives on the day — do not rely on it for deposits</v>
      </c>
    </row>
    <row r="23">
      <c r="B23" t="str">
        <v>Expected ang bao on the day</v>
      </c>
      <c r="C23" s="1">
        <f>D13</f>
        <v>0</v>
      </c>
    </row>
    <row r="25">
      <c r="B25" t="str">
        <v>PAYMENT MILESTONES (edit amounts/timing)</v>
      </c>
    </row>
    <row r="26">
      <c r="B26" t="str">
        <v>Milestone</v>
      </c>
      <c r="C26" t="str">
        <v>Amount (S$)</v>
      </c>
      <c r="D26" t="str">
        <v>Note</v>
      </c>
    </row>
    <row r="27">
      <c r="B27" t="str">
        <v>T-12 months · venue deposit</v>
      </c>
      <c r="C27" s="1">
        <v>8000</v>
      </c>
      <c r="D27" t="str">
        <v>Adjust to your actual vendor schedule</v>
      </c>
    </row>
    <row r="28">
      <c r="B28" t="str">
        <v>T-9 · bridal deposit</v>
      </c>
      <c r="C28" s="1">
        <v>1500</v>
      </c>
      <c r="D28" t="str">
        <v>Adjust to your actual vendor schedule</v>
      </c>
    </row>
    <row r="29">
      <c r="B29" t="str">
        <v>T-6 · décor deposit</v>
      </c>
      <c r="C29" s="1">
        <v>800</v>
      </c>
      <c r="D29" t="str">
        <v>Adjust to your actual vendor schedule</v>
      </c>
    </row>
    <row r="30">
      <c r="B30" t="str">
        <v>T-3 · venue balance</v>
      </c>
      <c r="C30" s="1">
        <v>15000</v>
      </c>
      <c r="D30" t="str">
        <v>Adjust to your actual vendor schedule</v>
      </c>
    </row>
    <row r="31">
      <c r="B31" t="str">
        <v>T-1 · photography/videography</v>
      </c>
      <c r="C31" s="1">
        <v>4000</v>
      </c>
      <c r="D31" t="str">
        <v>Adjust to your actual vendor schedule</v>
      </c>
    </row>
    <row r="32">
      <c r="B32" t="str">
        <v>T-0 · final vendors</v>
      </c>
      <c r="C32" s="1">
        <v>5000</v>
      </c>
      <c r="D32" t="str">
        <v>Adjust to your actual vendor schedule</v>
      </c>
    </row>
    <row r="33">
      <c r="B33" t="str">
        <v>Total pre-wedding payments scheduled</v>
      </c>
      <c r="C33" s="1">
        <f>SUM(C27:C32)</f>
        <v>0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42.83203125" customWidth="1"/>
    <col min="2" max="2" width="44.83203125" customWidth="1"/>
    <col min="3" max="3" width="22.83203125" customWidth="1"/>
    <col min="4" max="4" width="24.83203125" customWidth="1"/>
  </cols>
  <sheetData>
    <row r="2">
      <c r="B2" t="str">
        <v>RESULTS · YOUR WEDDING FINANCIAL PICTURE</v>
      </c>
    </row>
    <row r="3">
      <c r="B3" t="str">
        <v>Auto-updates from CALCULATOR and INPUTS.</v>
      </c>
    </row>
    <row r="5">
      <c r="B5" t="str">
        <v>KEY NUMBERS</v>
      </c>
    </row>
    <row r="6">
      <c r="B6" t="str">
        <v>Total estimated wedding expenditure</v>
      </c>
      <c r="C6" s="1">
        <f>CALCULATOR!C8</f>
        <v>0</v>
      </c>
    </row>
    <row r="7">
      <c r="B7" t="str">
        <v>Total banquet cost</v>
      </c>
      <c r="C7" s="1">
        <f>CALCULATOR!C6</f>
        <v>0</v>
      </c>
    </row>
    <row r="8">
      <c r="B8" t="str">
        <v>Total non-banquet cost</v>
      </c>
      <c r="C8" s="1">
        <f>CALCULATOR!C7</f>
        <v>0</v>
      </c>
    </row>
    <row r="9">
      <c r="B9" t="str">
        <v>Expected ang bao (estimate)</v>
      </c>
      <c r="C9" s="1">
        <f>CALCULATOR!D13</f>
        <v>0</v>
      </c>
    </row>
    <row r="10">
      <c r="B10" t="str">
        <v>Break-even average ang bao (per guest)</v>
      </c>
      <c r="C10" s="1">
        <f>CALCULATOR!C17</f>
        <v>0</v>
      </c>
    </row>
    <row r="11">
      <c r="B11" t="str">
        <v>Upfront cash to secure before the day</v>
      </c>
      <c r="C11" s="1">
        <f>CALCULATOR!C22</f>
        <v>0</v>
      </c>
    </row>
    <row r="13">
      <c r="B13" t="str">
        <v>ANG BAO SCENARIOS</v>
      </c>
    </row>
    <row r="14">
      <c r="B14" t="str">
        <v>Scenario</v>
      </c>
      <c r="C14" t="str">
        <v>Received (est)</v>
      </c>
      <c r="D14" t="str">
        <v>Surplus/Shortfall</v>
      </c>
    </row>
    <row r="15">
      <c r="B15" t="str">
        <v>Conservative</v>
      </c>
      <c r="C15" s="1">
        <f>CALCULATOR!D12</f>
        <v>0</v>
      </c>
      <c r="D15" s="1">
        <f>CALCULATOR!E12</f>
        <v>0</v>
      </c>
    </row>
    <row r="16">
      <c r="B16" t="str">
        <v>Expected</v>
      </c>
      <c r="C16" s="1">
        <f>CALCULATOR!D13</f>
        <v>0</v>
      </c>
      <c r="D16" s="1">
        <f>CALCULATOR!E13</f>
        <v>0</v>
      </c>
    </row>
    <row r="17">
      <c r="B17" t="str">
        <v>Optimistic</v>
      </c>
      <c r="C17" s="1">
        <f>CALCULATOR!D14</f>
        <v>0</v>
      </c>
      <c r="D17" s="1">
        <f>CALCULATOR!E14</f>
        <v>0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INPUTS</vt:lpstr>
      <vt:lpstr>CALCULATOR</vt:lpstr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