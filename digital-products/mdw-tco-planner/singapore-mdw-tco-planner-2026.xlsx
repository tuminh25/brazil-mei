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ROFILE &amp; INPUTS" state="visible" r:id="rId5"/>
    <sheet sheetId="3" name="COST CALCULATOR" state="visible" r:id="rId6"/>
    <sheet sheetId="4" name="MONTHLY YEARLY TCO" state="visible" r:id="rId7"/>
    <sheet sheetId="5" name="ACTION PLAN" state="visible" r:id="rId8"/>
  </sheets>
  <calcPr calcId="171027"/>
</workbook>
</file>

<file path=xl/sharedStrings.xml><?xml version="1.0" encoding="utf-8"?>
<sst xmlns="http://schemas.openxmlformats.org/spreadsheetml/2006/main" count="290" uniqueCount="215">
  <si>
    <t>Singapore MDW Total Cost of Ownership (TCO) Planner 2026</t>
  </si>
  <si>
    <t>A planning tool to estimate the full cost of employing a Migrant Domestic Worker — NOT legal/immigration advice.</t>
  </si>
  <si>
    <t>WHAT THIS WORKBOOK DOES</t>
  </si>
  <si>
    <t>• PROFILE &amp; INPUTS — capture helper type, salary, levy, agency fees, insurance, medical, and other costs.</t>
  </si>
  <si>
    <t>• COST CALCULATOR — breaks down one-off vs recurring costs with transparent formulas.</t>
  </si>
  <si>
    <t>• MONTHLY / YEARLY TCO — summarises first-year total, ongoing annual cost, and monthly equivalent.</t>
  </si>
  <si>
    <t>• ACTION PLAN — checklist of requirements, timelines, and budgeting steps.</t>
  </si>
  <si>
    <t>HOW TO USE — 3 STEPS</t>
  </si>
  <si>
    <t>STEP 1 · Go to PROFILE &amp; INPUTS. Fill in your arrangement details and cost assumptions.</t>
  </si>
  <si>
    <t>STEP 2 · Review COST CALCULATOR and MONTHLY / YEARLY TCO. Adjust inputs to see impact.</t>
  </si>
  <si>
    <t>STEP 3 · Use ACTION PLAN to track requirements and budgeting milestones.</t>
  </si>
  <si>
    <t>WHAT IS OFFICIAL vs MARKET ESTIMATE vs PLANNING ASSUMPTION vs USER INPUT</t>
  </si>
  <si>
    <t>• Official: MOM levy rates, security bond, medical exam requirements, work permit application fee.</t>
  </si>
  <si>
    <t>• Market estimate: Agency fees, monthly salary ranges, insurance premiums (vary by provider).</t>
  </si>
  <si>
    <t>• Planning assumption: Food, transport, phone, toiletries, replacement maid costs, annual leave pay.</t>
  </si>
  <si>
    <t>• User input: Your specific helper profile, chosen agency, actual quotes, and budget decisions.</t>
  </si>
  <si>
    <t>LIMITATIONS &amp; DISCLAIMER</t>
  </si>
  <si>
    <t>This tool is for financial planning only. It does NOT guarantee MOM approval, actual costs, or compliance. MOM rules and levy rates change; always verify on the MOM website and with your agency before committing.</t>
  </si>
  <si>
    <t>Yellow = editable input  ·  Green = auto-calculated  ·  Do not type into green cells.</t>
  </si>
  <si>
    <t>STEP 1 · YOUR MDW ARRANGEMENT &amp; COST ASSUMPTIONS</t>
  </si>
  <si>
    <t>Fill in the yellow cells. Green cells calculate automatically.</t>
  </si>
  <si>
    <t>HELPER PROFILE</t>
  </si>
  <si>
    <t>Helper type (New / Transfer / Renewal)</t>
  </si>
  <si>
    <t>New</t>
  </si>
  <si>
    <t>Source country</t>
  </si>
  <si>
    <t/>
  </si>
  <si>
    <t>Monthly salary (S$)</t>
  </si>
  <si>
    <t>Rest day compensation (if no rest day, S$/month)</t>
  </si>
  <si>
    <t>Food allowance / groceries per month (S$)</t>
  </si>
  <si>
    <t>Transport allowance per month (S$)</t>
  </si>
  <si>
    <t>Phone / data allowance per month (S$)</t>
  </si>
  <si>
    <t>Toiletries / personal care per month (S$)</t>
  </si>
  <si>
    <t>Annual leave pay (if not given as days off, S$)</t>
  </si>
  <si>
    <t>Performance bonus / 13th month (S$, annual)</t>
  </si>
  <si>
    <t>MOM OFFICIAL COSTS (verify on MOM website)</t>
  </si>
  <si>
    <t>Monthly levy (S$) — Standard / Concession</t>
  </si>
  <si>
    <t>Verify current rate on MOM website</t>
  </si>
  <si>
    <t>Levy concession applicable?</t>
  </si>
  <si>
    <t>No</t>
  </si>
  <si>
    <t>Security bond (S$) — MOM requirement</t>
  </si>
  <si>
    <t>Work permit application fee (S$) — MOM</t>
  </si>
  <si>
    <t>Work permit issuance fee (S$) — MOM</t>
  </si>
  <si>
    <t>Medical examination (S$) — MOM required (6-monthly)</t>
  </si>
  <si>
    <t>Settling-in Programme (SIP) — one-off (S$)</t>
  </si>
  <si>
    <t>AGENCY &amp; INSURANCE (market estimates — vary by provider)</t>
  </si>
  <si>
    <t>Agency placement fee (S$) — one-off</t>
  </si>
  <si>
    <t xml:space="preserve">Agency fee includes: </t>
  </si>
  <si>
    <t>Placement, medical, SIP, bond processing</t>
  </si>
  <si>
    <t>Insurance — Medical (S$)</t>
  </si>
  <si>
    <t>Insurance — Personal Accident (S$)</t>
  </si>
  <si>
    <t>Insurance coverage label</t>
  </si>
  <si>
    <t>Official MOM requirement</t>
  </si>
  <si>
    <t>Insurance premium — annual (S$) — Market estimate</t>
  </si>
  <si>
    <t>Insurance premium label</t>
  </si>
  <si>
    <t>Market estimate</t>
  </si>
  <si>
    <t>OTHER RECURRING / ONE-OFF COSTS (planning assumptions)</t>
  </si>
  <si>
    <t>Home leave / annual trip (S$, annual)</t>
  </si>
  <si>
    <t>Replacement maid cost (S$, if needed)</t>
  </si>
  <si>
    <t>Additional training / courses (S$)</t>
  </si>
  <si>
    <t>Miscellaneous / buffer per month (S$)</t>
  </si>
  <si>
    <t>HOUSEHOLD CONTEXT</t>
  </si>
  <si>
    <t>Employer household monthly income (S$)</t>
  </si>
  <si>
    <t>Number of dependents (children/elderly)</t>
  </si>
  <si>
    <t>Current maid? (Yes/No)</t>
  </si>
  <si>
    <t>If yes, months remaining on current contract</t>
  </si>
  <si>
    <t>COST CALCULATOR — TRANSPARENT BREAKDOWN</t>
  </si>
  <si>
    <t>All formulas reference PROFILE &amp; INPUTS. Green = calculated. Do not edit.</t>
  </si>
  <si>
    <t>MONTHLY RECURRING COSTS</t>
  </si>
  <si>
    <t>Item</t>
  </si>
  <si>
    <t>Monthly (S$)</t>
  </si>
  <si>
    <t>Annual (S$)</t>
  </si>
  <si>
    <t>Source Type</t>
  </si>
  <si>
    <t>Monthly salary</t>
  </si>
  <si>
    <t>User input / Market estimate</t>
  </si>
  <si>
    <t>Rest day compensation</t>
  </si>
  <si>
    <t>Monthly levy</t>
  </si>
  <si>
    <t>Official (MOM)</t>
  </si>
  <si>
    <t>Food allowance</t>
  </si>
  <si>
    <t>Planning assumption</t>
  </si>
  <si>
    <t>Transport allowance</t>
  </si>
  <si>
    <t>Phone / data allowance</t>
  </si>
  <si>
    <t>Toiletries / personal care</t>
  </si>
  <si>
    <t>Insurance premium (annual ÷ 12)</t>
  </si>
  <si>
    <t>Miscellaneous / buffer</t>
  </si>
  <si>
    <t>TOTAL MONTHLY RECURRING</t>
  </si>
  <si>
    <t>ONE-OFF / FIRST-YEAR COSTS</t>
  </si>
  <si>
    <t>Amount (S$)</t>
  </si>
  <si>
    <t>Agency placement fee</t>
  </si>
  <si>
    <t>Security bond (refundable)</t>
  </si>
  <si>
    <t>Work permit application fee</t>
  </si>
  <si>
    <t>Work permit issuance fee</t>
  </si>
  <si>
    <t>Medical examination (first)</t>
  </si>
  <si>
    <t>Settling-in Programme (SIP)</t>
  </si>
  <si>
    <t>Insurance first-year premium</t>
  </si>
  <si>
    <t>Agency loan interest / admin fee</t>
  </si>
  <si>
    <t>Home leave / annual trip (first year)</t>
  </si>
  <si>
    <t>Replacement maid cost (if applicable)</t>
  </si>
  <si>
    <t>Additional training / courses</t>
  </si>
  <si>
    <t>TOTAL ONE-OFF / FIRST-YEAR</t>
  </si>
  <si>
    <t>ANNUAL RECURRING FROM YEAR 2 ONWARDS</t>
  </si>
  <si>
    <t>Annual recurring from monthly costs</t>
  </si>
  <si>
    <t>Calculated</t>
  </si>
  <si>
    <t>Medical examination (6-monthly × 2)</t>
  </si>
  <si>
    <t>Insurance renewal (annual)</t>
  </si>
  <si>
    <t>Home leave / annual trip</t>
  </si>
  <si>
    <t>Performance bonus / 13th month</t>
  </si>
  <si>
    <t>TOTAL ANNUAL RECURRING (Year 2+)</t>
  </si>
  <si>
    <t>PLACEMENT LOAN BREAKDOWN (if applicable — not statutory)</t>
  </si>
  <si>
    <t>Notes</t>
  </si>
  <si>
    <t>Agency / placement fee (total)</t>
  </si>
  <si>
    <t>Amount paid upfront by employer</t>
  </si>
  <si>
    <t>Typically full fee paid to agency upfront</t>
  </si>
  <si>
    <t>Placement loan recovered from MDW salary (monthly)</t>
  </si>
  <si>
    <t>{"f":0}</t>
  </si>
  <si>
    <t>Enter monthly deduction if agency offers loan scheme</t>
  </si>
  <si>
    <t>Placement loan recovered from MDW salary (total)</t>
  </si>
  <si>
    <t>Monthly × contract months (typically 24)</t>
  </si>
  <si>
    <t>Employer cash outlay (upfront fee − loan recovered)</t>
  </si>
  <si>
    <t>Net employer cost after salary deductions</t>
  </si>
  <si>
    <t>First 6-month net cash outlay</t>
  </si>
  <si>
    <t>Upfront fee minus 6 months of salary deductions</t>
  </si>
  <si>
    <t>TOTAL COST OF OWNERSHIP SUMMARY</t>
  </si>
  <si>
    <t>Auto-calculated from COST CALCULATOR and PROFILE &amp; INPUTS.</t>
  </si>
  <si>
    <t>FIRST YEAR TCO</t>
  </si>
  <si>
    <t>Total one-off / first-year costs</t>
  </si>
  <si>
    <t>One-off</t>
  </si>
  <si>
    <t>Total monthly recurring × 12</t>
  </si>
  <si>
    <t>Recurring</t>
  </si>
  <si>
    <t>FIRST-YEAR TOTAL</t>
  </si>
  <si>
    <t>Combined</t>
  </si>
  <si>
    <t>ONGOING ANNUAL TCO (Year 2+)</t>
  </si>
  <si>
    <t>Total annual recurring (Year 2+)</t>
  </si>
  <si>
    <t>ONGOING ANNUAL TOTAL</t>
  </si>
  <si>
    <t>MONTHLY EQUIVALENT</t>
  </si>
  <si>
    <t>First-year monthly equivalent (Total ÷ 12)</t>
  </si>
  <si>
    <t>Ongoing monthly equivalent (Annual ÷ 12)</t>
  </si>
  <si>
    <t>AFFORDABILITY CHECK</t>
  </si>
  <si>
    <t>Household monthly income</t>
  </si>
  <si>
    <t>First-year TCO as % of annual income</t>
  </si>
  <si>
    <t>Ongoing monthly TCO as % of monthly income</t>
  </si>
  <si>
    <t>KEY ASSUMPTIONS &amp; SENSITIVITY</t>
  </si>
  <si>
    <t>• Levy concession reduces monthly levy from $300 to $60 (check MOM eligibility).</t>
  </si>
  <si>
    <t>• Security bond ($5,000) is refundable if no violations; not a "cost" but cash flow.</t>
  </si>
  <si>
    <t>• Salary range typically $550–$750 depending on experience and country.</t>
  </si>
  <si>
    <t>• Agency fees range $1,500–$3,500; compare before signing.</t>
  </si>
  <si>
    <t>• Insurance: MOM minimum $60,000 medical + $60,000 personal accident per year; premiums vary.</t>
  </si>
  <si>
    <t>• 6-monthly medical exam required by MOM (cost ~$80 each).</t>
  </si>
  <si>
    <t>• Placement loan is NOT a statutory requirement; it is a commercial arrangement between employer and agency.</t>
  </si>
  <si>
    <t>ACTION PLAN — REQUIREMENTS &amp; BUDGETING</t>
  </si>
  <si>
    <t>Track your progress. Yellow = editable. Green = auto-calculated.</t>
  </si>
  <si>
    <t>#</t>
  </si>
  <si>
    <t>Action / Requirement</t>
  </si>
  <si>
    <t>Timing / Deadline</t>
  </si>
  <si>
    <t>Priority</t>
  </si>
  <si>
    <t>Status</t>
  </si>
  <si>
    <t>Cost Impact (S$)</t>
  </si>
  <si>
    <t>Notes / Links</t>
  </si>
  <si>
    <t>Confirm MOM eligibility (employer income, household needs)</t>
  </si>
  <si>
    <t>Before starting</t>
  </si>
  <si>
    <t>High</t>
  </si>
  <si>
    <t>MOM website: FDW eligibility</t>
  </si>
  <si>
    <t>Compare 3+ agencies (fees, services, reviews)</t>
  </si>
  <si>
    <t>1-2 months before</t>
  </si>
  <si>
    <t>Check MOM licensed agency list</t>
  </si>
  <si>
    <t>Budget for first-year TCO (see MONTHLY / YEARLY TCO)</t>
  </si>
  <si>
    <t>Before signing</t>
  </si>
  <si>
    <t>First-year total</t>
  </si>
  <si>
    <t>Prepare security bond $5,000 (banker's guarantee or insurance)</t>
  </si>
  <si>
    <t>Before WP application</t>
  </si>
  <si>
    <t>Refundable if no breach</t>
  </si>
  <si>
    <t>Arrange medical exam for helper (pre-employment)</t>
  </si>
  <si>
    <t>Before arrival</t>
  </si>
  <si>
    <t>MOM-approved clinic</t>
  </si>
  <si>
    <t>Enrol helper in Settling-in Programme (SIP)</t>
  </si>
  <si>
    <t>Within 3 days of arrival</t>
  </si>
  <si>
    <t>MOM mandatory</t>
  </si>
  <si>
    <t>Purchase insurance (medical $60k + personal accident $60k min)</t>
  </si>
  <si>
    <t>Before WP issuance</t>
  </si>
  <si>
    <t>MOM minimum coverage</t>
  </si>
  <si>
    <t>Apply for Work Permit (online via MOM)</t>
  </si>
  <si>
    <t>After helper arrival</t>
  </si>
  <si>
    <t>WP application + issuance fee</t>
  </si>
  <si>
    <t>Set up GIRO for monthly levy payment</t>
  </si>
  <si>
    <t>Upon WP approval</t>
  </si>
  <si>
    <t>Monthly levy auto-deduction</t>
  </si>
  <si>
    <t>Prepare helper's room / living arrangements</t>
  </si>
  <si>
    <t>Medium</t>
  </si>
  <si>
    <t>MOM housing standards</t>
  </si>
  <si>
    <t>Purchase food, toiletries, phone plan for helper</t>
  </si>
  <si>
    <t>First week</t>
  </si>
  <si>
    <t>Monthly recurring items</t>
  </si>
  <si>
    <t>Schedule 6-monthly medical exams</t>
  </si>
  <si>
    <t>Every 6 months</t>
  </si>
  <si>
    <t>MOM requirement</t>
  </si>
  <si>
    <t>Renew insurance annually</t>
  </si>
  <si>
    <t>Annually</t>
  </si>
  <si>
    <t>Before policy expiry</t>
  </si>
  <si>
    <t>Plan for home leave / annual trip (if applicable)</t>
  </si>
  <si>
    <t>Low</t>
  </si>
  <si>
    <t>Budget in advance</t>
  </si>
  <si>
    <t>Review contract &amp; salary at renewal (2-year cycle)</t>
  </si>
  <si>
    <t>Month 22-24</t>
  </si>
  <si>
    <t>Negotiate if needed</t>
  </si>
  <si>
    <t>Emergency fund for replacement / repatriation</t>
  </si>
  <si>
    <t>Ongoing</t>
  </si>
  <si>
    <t>Buffer for unexpected</t>
  </si>
  <si>
    <t>Review placement loan terms (if any) — not statutory</t>
  </si>
  <si>
    <t>See COST CALCULATOR placement loan breakdown</t>
  </si>
  <si>
    <t>SUMMARY</t>
  </si>
  <si>
    <t>Total actions</t>
  </si>
  <si>
    <t>High priority</t>
  </si>
  <si>
    <t>Not Started</t>
  </si>
  <si>
    <t>In Progress</t>
  </si>
  <si>
    <t>Done</t>
  </si>
  <si>
    <t>Total cost impact (high priority)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</si>
</sst>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$&quot;#,##0"/>
    <numFmt numFmtId="165" formatCode="0.0%"/>
  </numFmts>
  <fonts count="15" x14ac:knownFonts="1">
    <font>
      <color theme="1"/>
      <family val="2"/>
      <scheme val="minor"/>
      <sz val="11"/>
      <name val="Calibri"/>
    </font>
    <font>
      <b/>
      <color rgb="1F2937"/>
      <sz val="18"/>
      <name val="Calibri"/>
    </font>
    <font>
      <i/>
      <color rgb="6B7280"/>
      <sz val="11"/>
      <name val="Calibri"/>
    </font>
    <font>
      <b/>
      <color rgb="1F2937"/>
      <sz val="11"/>
      <name val="Calibri"/>
    </font>
    <font>
      <color rgb="1F2937"/>
      <sz val="11"/>
      <name val="Calibri"/>
    </font>
    <font>
      <i/>
      <color rgb="92400E"/>
      <sz val="10"/>
      <name val="Calibri"/>
    </font>
    <font>
      <i/>
      <color rgb="6B7280"/>
      <sz val="9"/>
      <name val="Calibri"/>
    </font>
    <font>
      <b/>
      <color rgb="FFFFFF"/>
      <sz val="12"/>
      <name val="Calibri"/>
    </font>
    <font>
      <b/>
      <color rgb="92400E"/>
      <sz val="11"/>
      <name val="Calibri"/>
    </font>
    <font>
      <b/>
      <color rgb="1F2937"/>
      <sz val="10"/>
      <name val="Calibri"/>
    </font>
    <font>
      <b/>
      <color rgb="065F46"/>
      <sz val="11"/>
      <name val="Calibri"/>
    </font>
    <font>
      <b/>
      <color rgb="065F46"/>
      <sz val="16"/>
      <name val="Calibri"/>
    </font>
    <font>
      <b/>
      <color rgb="7F1D1D"/>
      <sz val="11"/>
      <name val="Calibri"/>
    </font>
    <font>
      <b/>
      <color rgb="7F1D1D"/>
      <sz val="10"/>
      <name val="Calibri"/>
    </font>
    <font>
      <b/>
      <color rgb="065F46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E0E7F1"/>
      </patternFill>
    </fill>
    <fill>
      <patternFill patternType="solid">
        <fgColor rgb="2563EB"/>
      </patternFill>
    </fill>
    <fill>
      <patternFill patternType="solid">
        <fgColor rgb="FEF3C7"/>
      </patternFill>
    </fill>
    <fill>
      <patternFill patternType="solid">
        <fgColor rgb="E5E7EB"/>
      </patternFill>
    </fill>
    <fill>
      <patternFill patternType="solid">
        <fgColor rgb="D1FAE5"/>
      </patternFill>
    </fill>
    <fill>
      <patternFill patternType="solid">
        <fgColor rgb="A7F3D0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  <border>
      <left/>
      <right/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 wrapText="1"/>
    </xf>
    <xf numFmtId="164" fontId="10" fillId="6" borderId="0" xfId="0" applyNumberFormat="1" applyFont="1" applyFill="1" applyAlignment="1">
      <alignment horizontal="right" vertical="center"/>
    </xf>
    <xf numFmtId="164" fontId="11" fillId="7" borderId="0" xfId="0" applyNumberFormat="1" applyFont="1" applyFill="1" applyAlignment="1">
      <alignment horizontal="right" vertical="center"/>
    </xf>
    <xf numFmtId="165" fontId="10" fillId="6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right" vertical="center"/>
    </xf>
    <xf numFmtId="0" fontId="12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5"/>
  <sheetFormatPr defaultRowHeight="15" outlineLevelRow="0" outlineLevelCol="0" x14ac:dyDescent="55"/>
  <cols>
    <col min="2" max="2" width="28" customWidth="1"/>
    <col min="3" max="3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8" spans="2:2" x14ac:dyDescent="0.25">
      <c r="B8" s="4" t="s">
        <v>5</v>
      </c>
    </row>
    <row r="9" spans="2:2" x14ac:dyDescent="0.25">
      <c r="B9" s="4" t="s">
        <v>6</v>
      </c>
    </row>
    <row r="11" spans="2:2" x14ac:dyDescent="0.25">
      <c r="B11" s="3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6" spans="2:2" x14ac:dyDescent="0.25">
      <c r="B16" s="3" t="s">
        <v>11</v>
      </c>
    </row>
    <row r="17" spans="2:2" x14ac:dyDescent="0.25">
      <c r="B17" s="4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0" spans="2:2" x14ac:dyDescent="0.25">
      <c r="B20" s="4" t="s">
        <v>15</v>
      </c>
    </row>
    <row r="22" spans="2:2" x14ac:dyDescent="0.25">
      <c r="B22" s="3" t="s">
        <v>16</v>
      </c>
    </row>
    <row r="23" spans="2:2" x14ac:dyDescent="0.25">
      <c r="B23" s="5" t="s">
        <v>17</v>
      </c>
    </row>
    <row r="25" spans="2:2" x14ac:dyDescent="0.25">
      <c r="B25" s="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4"/>
  <sheetFormatPr defaultRowHeight="15" outlineLevelRow="0" outlineLevelCol="0" x14ac:dyDescent="55"/>
  <cols>
    <col min="2" max="2" width="52" customWidth="1"/>
    <col min="3" max="3" width="28" customWidth="1"/>
    <col min="4" max="4" width="40" customWidth="1"/>
  </cols>
  <sheetData>
    <row r="2" spans="2:2" x14ac:dyDescent="0.25">
      <c r="B2" s="1" t="s">
        <v>19</v>
      </c>
    </row>
    <row r="3" spans="2:2" x14ac:dyDescent="0.25">
      <c r="B3" s="2" t="s">
        <v>20</v>
      </c>
    </row>
    <row r="5" spans="2:2" x14ac:dyDescent="0.25">
      <c r="B5" s="7" t="s">
        <v>21</v>
      </c>
    </row>
    <row r="6" spans="2:3" x14ac:dyDescent="0.25">
      <c r="B6" s="8" t="s">
        <v>22</v>
      </c>
      <c r="C6" s="9" t="s">
        <v>23</v>
      </c>
    </row>
    <row r="7" spans="2:3" x14ac:dyDescent="0.25">
      <c r="B7" s="8" t="s">
        <v>24</v>
      </c>
      <c r="C7" s="9" t="s">
        <v>25</v>
      </c>
    </row>
    <row r="8" spans="2:3" x14ac:dyDescent="0.25">
      <c r="B8" s="8" t="s">
        <v>26</v>
      </c>
      <c r="C8" s="10">
        <v>600</v>
      </c>
    </row>
    <row r="9" spans="2:3" x14ac:dyDescent="0.25">
      <c r="B9" s="8" t="s">
        <v>27</v>
      </c>
      <c r="C9" s="10">
        <v>0</v>
      </c>
    </row>
    <row r="10" spans="2:3" x14ac:dyDescent="0.25">
      <c r="B10" s="8" t="s">
        <v>28</v>
      </c>
      <c r="C10" s="10">
        <v>250</v>
      </c>
    </row>
    <row r="11" spans="2:3" x14ac:dyDescent="0.25">
      <c r="B11" s="8" t="s">
        <v>29</v>
      </c>
      <c r="C11" s="10">
        <v>50</v>
      </c>
    </row>
    <row r="12" spans="2:3" x14ac:dyDescent="0.25">
      <c r="B12" s="8" t="s">
        <v>30</v>
      </c>
      <c r="C12" s="10">
        <v>30</v>
      </c>
    </row>
    <row r="13" spans="2:3" x14ac:dyDescent="0.25">
      <c r="B13" s="8" t="s">
        <v>31</v>
      </c>
      <c r="C13" s="10">
        <v>40</v>
      </c>
    </row>
    <row r="14" spans="2:3" x14ac:dyDescent="0.25">
      <c r="B14" s="8" t="s">
        <v>32</v>
      </c>
      <c r="C14" s="10">
        <v>0</v>
      </c>
    </row>
    <row r="15" spans="2:3" x14ac:dyDescent="0.25">
      <c r="B15" s="8" t="s">
        <v>33</v>
      </c>
      <c r="C15" s="10">
        <v>0</v>
      </c>
    </row>
    <row r="17" spans="2:2" x14ac:dyDescent="0.25">
      <c r="B17" s="7" t="s">
        <v>34</v>
      </c>
    </row>
    <row r="18" spans="2:4" x14ac:dyDescent="0.25">
      <c r="B18" s="8" t="s">
        <v>35</v>
      </c>
      <c r="C18" s="10">
        <v>300</v>
      </c>
      <c r="D18" s="6" t="s">
        <v>36</v>
      </c>
    </row>
    <row r="19" spans="2:4" x14ac:dyDescent="0.25">
      <c r="B19" s="8" t="s">
        <v>37</v>
      </c>
      <c r="C19" s="11" t="s">
        <v>38</v>
      </c>
      <c r="D19" s="6" t="s">
        <v>36</v>
      </c>
    </row>
    <row r="20" spans="2:4" x14ac:dyDescent="0.25">
      <c r="B20" s="8" t="s">
        <v>39</v>
      </c>
      <c r="C20" s="10">
        <v>5000</v>
      </c>
      <c r="D20" s="6" t="s">
        <v>36</v>
      </c>
    </row>
    <row r="21" spans="2:4" x14ac:dyDescent="0.25">
      <c r="B21" s="8" t="s">
        <v>40</v>
      </c>
      <c r="C21" s="10">
        <v>35</v>
      </c>
      <c r="D21" s="6" t="s">
        <v>36</v>
      </c>
    </row>
    <row r="22" spans="2:4" x14ac:dyDescent="0.25">
      <c r="B22" s="8" t="s">
        <v>41</v>
      </c>
      <c r="C22" s="10">
        <v>35</v>
      </c>
      <c r="D22" s="6" t="s">
        <v>36</v>
      </c>
    </row>
    <row r="23" spans="2:4" x14ac:dyDescent="0.25">
      <c r="B23" s="8" t="s">
        <v>42</v>
      </c>
      <c r="C23" s="10">
        <v>80</v>
      </c>
      <c r="D23" s="6" t="s">
        <v>36</v>
      </c>
    </row>
    <row r="24" spans="2:4" x14ac:dyDescent="0.25">
      <c r="B24" s="8" t="s">
        <v>43</v>
      </c>
      <c r="C24" s="10">
        <v>75</v>
      </c>
      <c r="D24" s="6" t="s">
        <v>36</v>
      </c>
    </row>
    <row r="26" spans="2:2" x14ac:dyDescent="0.25">
      <c r="B26" s="7" t="s">
        <v>44</v>
      </c>
    </row>
    <row r="27" spans="2:3" x14ac:dyDescent="0.25">
      <c r="B27" s="8" t="s">
        <v>45</v>
      </c>
      <c r="C27" s="10">
        <v>2500</v>
      </c>
    </row>
    <row r="28" spans="2:3" x14ac:dyDescent="0.25">
      <c r="B28" s="8" t="s">
        <v>46</v>
      </c>
      <c r="C28" s="9" t="s">
        <v>47</v>
      </c>
    </row>
    <row r="29" spans="2:3" x14ac:dyDescent="0.25">
      <c r="B29" s="8" t="s">
        <v>48</v>
      </c>
      <c r="C29" s="10">
        <v>60000</v>
      </c>
    </row>
    <row r="30" spans="2:3" x14ac:dyDescent="0.25">
      <c r="B30" s="8" t="s">
        <v>49</v>
      </c>
      <c r="C30" s="10">
        <v>60000</v>
      </c>
    </row>
    <row r="31" spans="2:3" x14ac:dyDescent="0.25">
      <c r="B31" s="8" t="s">
        <v>50</v>
      </c>
      <c r="C31" s="9" t="s">
        <v>51</v>
      </c>
    </row>
    <row r="32" spans="2:3" x14ac:dyDescent="0.25">
      <c r="B32" s="8" t="s">
        <v>52</v>
      </c>
      <c r="C32" s="10">
        <v>260</v>
      </c>
    </row>
    <row r="33" spans="2:3" x14ac:dyDescent="0.25">
      <c r="B33" s="8" t="s">
        <v>53</v>
      </c>
      <c r="C33" s="9" t="s">
        <v>54</v>
      </c>
    </row>
    <row r="34" spans="2:3" x14ac:dyDescent="0.25">
      <c r="B34" s="7" t="s">
        <v>55</v>
      </c>
      <c r="C34" s="9" t="s">
        <v>38</v>
      </c>
    </row>
    <row r="35" spans="2:3" x14ac:dyDescent="0.25">
      <c r="B35" s="8" t="s">
        <v>56</v>
      </c>
      <c r="C35" s="10">
        <v>0</v>
      </c>
    </row>
    <row r="36" spans="2:3" x14ac:dyDescent="0.25">
      <c r="B36" s="8" t="s">
        <v>57</v>
      </c>
      <c r="C36" s="10">
        <v>0</v>
      </c>
    </row>
    <row r="37" spans="2:3" x14ac:dyDescent="0.25">
      <c r="B37" s="8" t="s">
        <v>58</v>
      </c>
      <c r="C37" s="10">
        <v>0</v>
      </c>
    </row>
    <row r="38" spans="2:3" x14ac:dyDescent="0.25">
      <c r="B38" s="8" t="s">
        <v>59</v>
      </c>
      <c r="C38" s="10">
        <v>50</v>
      </c>
    </row>
    <row r="40" spans="2:2" x14ac:dyDescent="0.25">
      <c r="B40" s="7" t="s">
        <v>60</v>
      </c>
    </row>
    <row r="41" spans="2:3" x14ac:dyDescent="0.25">
      <c r="B41" s="8" t="s">
        <v>61</v>
      </c>
      <c r="C41" s="10">
        <v>0</v>
      </c>
    </row>
    <row r="42" spans="2:3" x14ac:dyDescent="0.25">
      <c r="B42" s="8" t="s">
        <v>62</v>
      </c>
      <c r="C42" s="10">
        <v>0</v>
      </c>
    </row>
    <row r="43" spans="2:3" x14ac:dyDescent="0.25">
      <c r="B43" s="8" t="s">
        <v>63</v>
      </c>
      <c r="C43" s="9" t="s">
        <v>38</v>
      </c>
    </row>
    <row r="44" spans="2:3" x14ac:dyDescent="0.25">
      <c r="B44" s="8" t="s">
        <v>64</v>
      </c>
      <c r="C44" s="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FormatPr defaultRowHeight="15" outlineLevelRow="0" outlineLevelCol="0" x14ac:dyDescent="55"/>
  <cols>
    <col min="2" max="2" width="44" customWidth="1"/>
    <col min="3" max="4" width="20" customWidth="1"/>
    <col min="5" max="5" width="30" customWidth="1"/>
  </cols>
  <sheetData>
    <row r="2" spans="2:2" x14ac:dyDescent="0.25">
      <c r="B2" s="1" t="s">
        <v>65</v>
      </c>
    </row>
    <row r="3" spans="2:2" x14ac:dyDescent="0.25">
      <c r="B3" s="2" t="s">
        <v>66</v>
      </c>
    </row>
    <row r="5" spans="2:2" x14ac:dyDescent="0.25">
      <c r="B5" s="7" t="s">
        <v>67</v>
      </c>
    </row>
    <row r="6" spans="2:5" x14ac:dyDescent="0.25">
      <c r="B6" s="12" t="s">
        <v>68</v>
      </c>
      <c r="C6" s="12" t="s">
        <v>69</v>
      </c>
      <c r="D6" s="12" t="s">
        <v>70</v>
      </c>
      <c r="E6" s="12" t="s">
        <v>71</v>
      </c>
    </row>
    <row r="7" spans="2:5" x14ac:dyDescent="0.25">
      <c r="B7" s="4" t="s">
        <v>72</v>
      </c>
      <c r="C7" s="13">
        <f>'PROFILE &amp; INPUTS'!C8</f>
        <v>0</v>
      </c>
      <c r="D7" s="13">
        <f>C7*12</f>
        <v>0</v>
      </c>
      <c r="E7" s="6" t="s">
        <v>73</v>
      </c>
    </row>
    <row r="8" spans="2:5" x14ac:dyDescent="0.25">
      <c r="B8" s="4" t="s">
        <v>74</v>
      </c>
      <c r="C8" s="13">
        <f>'PROFILE &amp; INPUTS'!C9</f>
        <v>0</v>
      </c>
      <c r="D8" s="13">
        <f>C8*12</f>
        <v>0</v>
      </c>
      <c r="E8" s="6" t="s">
        <v>73</v>
      </c>
    </row>
    <row r="9" spans="2:5" x14ac:dyDescent="0.25">
      <c r="B9" s="4" t="s">
        <v>75</v>
      </c>
      <c r="C9" s="13">
        <f>'PROFILE &amp; INPUTS'!C19</f>
        <v>0</v>
      </c>
      <c r="D9" s="13">
        <f>C9*12</f>
        <v>0</v>
      </c>
      <c r="E9" s="6" t="s">
        <v>76</v>
      </c>
    </row>
    <row r="10" spans="2:5" x14ac:dyDescent="0.25">
      <c r="B10" s="4" t="s">
        <v>77</v>
      </c>
      <c r="C10" s="13">
        <f>'PROFILE &amp; INPUTS'!C10</f>
        <v>0</v>
      </c>
      <c r="D10" s="13">
        <f>C10*12</f>
        <v>0</v>
      </c>
      <c r="E10" s="6" t="s">
        <v>78</v>
      </c>
    </row>
    <row r="11" spans="2:5" x14ac:dyDescent="0.25">
      <c r="B11" s="4" t="s">
        <v>79</v>
      </c>
      <c r="C11" s="13">
        <f>'PROFILE &amp; INPUTS'!C11</f>
        <v>0</v>
      </c>
      <c r="D11" s="13">
        <f>C11*12</f>
        <v>0</v>
      </c>
      <c r="E11" s="6" t="s">
        <v>78</v>
      </c>
    </row>
    <row r="12" spans="2:5" x14ac:dyDescent="0.25">
      <c r="B12" s="4" t="s">
        <v>80</v>
      </c>
      <c r="C12" s="13">
        <f>'PROFILE &amp; INPUTS'!C12</f>
        <v>0</v>
      </c>
      <c r="D12" s="13">
        <f>C12*12</f>
        <v>0</v>
      </c>
      <c r="E12" s="6" t="s">
        <v>78</v>
      </c>
    </row>
    <row r="13" spans="2:5" x14ac:dyDescent="0.25">
      <c r="B13" s="4" t="s">
        <v>81</v>
      </c>
      <c r="C13" s="13">
        <f>'PROFILE &amp; INPUTS'!C13</f>
        <v>0</v>
      </c>
      <c r="D13" s="13">
        <f>C13*12</f>
        <v>0</v>
      </c>
      <c r="E13" s="6" t="s">
        <v>78</v>
      </c>
    </row>
    <row r="14" spans="2:5" x14ac:dyDescent="0.25">
      <c r="B14" s="4" t="s">
        <v>82</v>
      </c>
      <c r="C14" s="13">
        <f>('PROFILE &amp; INPUTS'!C34)/12</f>
        <v>0</v>
      </c>
      <c r="D14" s="13">
        <f>C14*12</f>
        <v>0</v>
      </c>
      <c r="E14" s="6" t="s">
        <v>54</v>
      </c>
    </row>
    <row r="15" spans="2:5" x14ac:dyDescent="0.25">
      <c r="B15" s="4" t="s">
        <v>83</v>
      </c>
      <c r="C15" s="13">
        <f>'PROFILE &amp; INPUTS'!C42</f>
        <v>0</v>
      </c>
      <c r="D15" s="13">
        <f>C15*12</f>
        <v>0</v>
      </c>
      <c r="E15" s="6" t="s">
        <v>78</v>
      </c>
    </row>
    <row r="16" spans="2:4" x14ac:dyDescent="0.25">
      <c r="B16" s="8" t="s">
        <v>84</v>
      </c>
      <c r="C16" s="14">
        <f>SUM(C7:C15)</f>
        <v>0</v>
      </c>
      <c r="D16" s="14">
        <f>SUM(D7:D15)</f>
        <v>0</v>
      </c>
    </row>
    <row r="18" spans="2:2" x14ac:dyDescent="0.25">
      <c r="B18" s="7" t="s">
        <v>85</v>
      </c>
    </row>
    <row r="19" spans="2:4" x14ac:dyDescent="0.25">
      <c r="B19" s="12" t="s">
        <v>68</v>
      </c>
      <c r="C19" s="12" t="s">
        <v>86</v>
      </c>
      <c r="D19" s="12" t="s">
        <v>71</v>
      </c>
    </row>
    <row r="20" spans="2:4" x14ac:dyDescent="0.25">
      <c r="B20" s="4" t="s">
        <v>87</v>
      </c>
      <c r="C20" s="13">
        <f>'PROFILE &amp; INPUTS'!C28</f>
        <v>0</v>
      </c>
      <c r="D20" s="6" t="s">
        <v>54</v>
      </c>
    </row>
    <row r="21" spans="2:4" x14ac:dyDescent="0.25">
      <c r="B21" s="4" t="s">
        <v>88</v>
      </c>
      <c r="C21" s="13">
        <f>'PROFILE &amp; INPUTS'!C21</f>
        <v>0</v>
      </c>
      <c r="D21" s="6" t="s">
        <v>76</v>
      </c>
    </row>
    <row r="22" spans="2:4" x14ac:dyDescent="0.25">
      <c r="B22" s="4" t="s">
        <v>89</v>
      </c>
      <c r="C22" s="13">
        <f>'PROFILE &amp; INPUTS'!C22</f>
        <v>0</v>
      </c>
      <c r="D22" s="6" t="s">
        <v>76</v>
      </c>
    </row>
    <row r="23" spans="2:4" x14ac:dyDescent="0.25">
      <c r="B23" s="4" t="s">
        <v>90</v>
      </c>
      <c r="C23" s="13">
        <f>'PROFILE &amp; INPUTS'!C23</f>
        <v>0</v>
      </c>
      <c r="D23" s="6" t="s">
        <v>76</v>
      </c>
    </row>
    <row r="24" spans="2:4" x14ac:dyDescent="0.25">
      <c r="B24" s="4" t="s">
        <v>91</v>
      </c>
      <c r="C24" s="13">
        <f>'PROFILE &amp; INPUTS'!C24</f>
        <v>0</v>
      </c>
      <c r="D24" s="6" t="s">
        <v>76</v>
      </c>
    </row>
    <row r="25" spans="2:4" x14ac:dyDescent="0.25">
      <c r="B25" s="4" t="s">
        <v>92</v>
      </c>
      <c r="C25" s="13">
        <f>'PROFILE &amp; INPUTS'!C25</f>
        <v>0</v>
      </c>
      <c r="D25" s="6" t="s">
        <v>76</v>
      </c>
    </row>
    <row r="26" spans="2:4" x14ac:dyDescent="0.25">
      <c r="B26" s="4" t="s">
        <v>93</v>
      </c>
      <c r="C26" s="13">
        <f>'PROFILE &amp; INPUTS'!C34</f>
        <v>0</v>
      </c>
      <c r="D26" s="6" t="s">
        <v>54</v>
      </c>
    </row>
    <row r="27" spans="2:4" x14ac:dyDescent="0.25">
      <c r="B27" s="4" t="s">
        <v>94</v>
      </c>
      <c r="C27" s="13">
        <f>'PROFILE &amp; INPUTS'!C39</f>
        <v>0</v>
      </c>
      <c r="D27" s="6" t="s">
        <v>54</v>
      </c>
    </row>
    <row r="28" spans="2:4" x14ac:dyDescent="0.25">
      <c r="B28" s="4" t="s">
        <v>95</v>
      </c>
      <c r="C28" s="13">
        <f>'PROFILE &amp; INPUTS'!C40</f>
        <v>0</v>
      </c>
      <c r="D28" s="6" t="s">
        <v>78</v>
      </c>
    </row>
    <row r="29" spans="2:4" x14ac:dyDescent="0.25">
      <c r="B29" s="4" t="s">
        <v>96</v>
      </c>
      <c r="C29" s="13">
        <f>'PROFILE &amp; INPUTS'!C41</f>
        <v>0</v>
      </c>
      <c r="D29" s="6" t="s">
        <v>78</v>
      </c>
    </row>
    <row r="30" spans="2:4" x14ac:dyDescent="0.25">
      <c r="B30" s="4" t="s">
        <v>97</v>
      </c>
      <c r="C30" s="13">
        <f>'PROFILE &amp; INPUTS'!C42</f>
        <v>0</v>
      </c>
      <c r="D30" s="6" t="s">
        <v>78</v>
      </c>
    </row>
    <row r="31" spans="2:3" x14ac:dyDescent="0.25">
      <c r="B31" s="8" t="s">
        <v>98</v>
      </c>
      <c r="C31" s="14">
        <f>SUM(C20:C30)</f>
        <v>0</v>
      </c>
    </row>
    <row r="33" spans="2:2" x14ac:dyDescent="0.25">
      <c r="B33" s="7" t="s">
        <v>99</v>
      </c>
    </row>
    <row r="34" spans="2:4" x14ac:dyDescent="0.25">
      <c r="B34" s="12" t="s">
        <v>68</v>
      </c>
      <c r="C34" s="12" t="s">
        <v>70</v>
      </c>
      <c r="D34" s="12" t="s">
        <v>71</v>
      </c>
    </row>
    <row r="35" spans="2:4" x14ac:dyDescent="0.25">
      <c r="B35" s="4" t="s">
        <v>100</v>
      </c>
      <c r="C35" s="13">
        <f>[object Object]</f>
        <v>0</v>
      </c>
      <c r="D35" s="6" t="s">
        <v>101</v>
      </c>
    </row>
    <row r="36" spans="2:4" x14ac:dyDescent="0.25">
      <c r="B36" s="4" t="s">
        <v>102</v>
      </c>
      <c r="C36" s="13">
        <f>[object Object]</f>
        <v>0</v>
      </c>
      <c r="D36" s="6" t="s">
        <v>76</v>
      </c>
    </row>
    <row r="37" spans="2:4" x14ac:dyDescent="0.25">
      <c r="B37" s="4" t="s">
        <v>103</v>
      </c>
      <c r="C37" s="13">
        <f>'PROFILE &amp; INPUTS'!C34</f>
        <v>0</v>
      </c>
      <c r="D37" s="6" t="s">
        <v>54</v>
      </c>
    </row>
    <row r="38" spans="2:4" x14ac:dyDescent="0.25">
      <c r="B38" s="4" t="s">
        <v>104</v>
      </c>
      <c r="C38" s="13">
        <f>'PROFILE &amp; INPUTS'!C40</f>
        <v>0</v>
      </c>
      <c r="D38" s="6" t="s">
        <v>78</v>
      </c>
    </row>
    <row r="39" spans="2:4" x14ac:dyDescent="0.25">
      <c r="B39" s="4" t="s">
        <v>105</v>
      </c>
      <c r="C39" s="13">
        <f>'PROFILE &amp; INPUTS'!C15</f>
        <v>0</v>
      </c>
      <c r="D39" s="6" t="s">
        <v>73</v>
      </c>
    </row>
    <row r="40" spans="2:4" x14ac:dyDescent="0.25">
      <c r="B40" s="4" t="s">
        <v>97</v>
      </c>
      <c r="C40" s="13">
        <f>'PROFILE &amp; INPUTS'!C42</f>
        <v>0</v>
      </c>
      <c r="D40" s="6" t="s">
        <v>78</v>
      </c>
    </row>
    <row r="41" spans="2:3" x14ac:dyDescent="0.25">
      <c r="B41" s="8" t="s">
        <v>106</v>
      </c>
      <c r="C41" s="14">
        <f>SUM(C35:C40)</f>
        <v>0</v>
      </c>
    </row>
    <row r="43" spans="2:2" x14ac:dyDescent="0.25">
      <c r="B43" s="7" t="s">
        <v>107</v>
      </c>
    </row>
    <row r="44" spans="2:4" x14ac:dyDescent="0.25">
      <c r="B44" s="12" t="s">
        <v>68</v>
      </c>
      <c r="C44" s="12" t="s">
        <v>86</v>
      </c>
      <c r="D44" s="12" t="s">
        <v>108</v>
      </c>
    </row>
    <row r="45" spans="2:4" x14ac:dyDescent="0.25">
      <c r="B45" s="4" t="s">
        <v>109</v>
      </c>
      <c r="C45" s="13">
        <f>'PROFILE &amp; INPUTS'!C28</f>
        <v>0</v>
      </c>
      <c r="D45" s="6" t="s">
        <v>54</v>
      </c>
    </row>
    <row r="46" spans="2:4" x14ac:dyDescent="0.25">
      <c r="B46" s="4" t="s">
        <v>110</v>
      </c>
      <c r="C46" s="13">
        <f>'PROFILE &amp; INPUTS'!C28</f>
        <v>0</v>
      </c>
      <c r="D46" s="6" t="s">
        <v>111</v>
      </c>
    </row>
    <row r="47" spans="2:4" x14ac:dyDescent="0.25">
      <c r="B47" s="4" t="s">
        <v>112</v>
      </c>
      <c r="C47" s="13" t="s">
        <v>113</v>
      </c>
      <c r="D47" s="6" t="s">
        <v>114</v>
      </c>
    </row>
    <row r="48" spans="2:4" x14ac:dyDescent="0.25">
      <c r="B48" s="4" t="s">
        <v>115</v>
      </c>
      <c r="C48" s="13">
        <f>[object Object]</f>
        <v>0</v>
      </c>
      <c r="D48" s="6" t="s">
        <v>116</v>
      </c>
    </row>
    <row r="49" spans="2:4" x14ac:dyDescent="0.25">
      <c r="B49" s="4" t="s">
        <v>117</v>
      </c>
      <c r="C49" s="13">
        <f>[object Object]</f>
        <v>0</v>
      </c>
      <c r="D49" s="6" t="s">
        <v>118</v>
      </c>
    </row>
    <row r="50" spans="2:4" x14ac:dyDescent="0.25">
      <c r="B50" s="4" t="s">
        <v>119</v>
      </c>
      <c r="C50" s="13">
        <f>[object Object]</f>
        <v>0</v>
      </c>
      <c r="D50" s="6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FormatPr defaultRowHeight="15" outlineLevelRow="0" outlineLevelCol="0" x14ac:dyDescent="55"/>
  <cols>
    <col min="2" max="2" width="48" customWidth="1"/>
    <col min="3" max="4" width="24" customWidth="1"/>
  </cols>
  <sheetData>
    <row r="2" spans="2:2" x14ac:dyDescent="0.25">
      <c r="B2" s="1" t="s">
        <v>121</v>
      </c>
    </row>
    <row r="3" spans="2:2" x14ac:dyDescent="0.25">
      <c r="B3" s="2" t="s">
        <v>122</v>
      </c>
    </row>
    <row r="5" spans="2:2" x14ac:dyDescent="0.25">
      <c r="B5" s="7" t="s">
        <v>123</v>
      </c>
    </row>
    <row r="6" spans="2:4" x14ac:dyDescent="0.25">
      <c r="B6" s="4" t="s">
        <v>124</v>
      </c>
      <c r="C6" s="13">
        <f>'COST CALCULATOR'!C31</f>
        <v>0</v>
      </c>
      <c r="D6" s="6" t="s">
        <v>125</v>
      </c>
    </row>
    <row r="7" spans="2:4" x14ac:dyDescent="0.25">
      <c r="B7" s="4" t="s">
        <v>126</v>
      </c>
      <c r="C7" s="13">
        <f>'COST CALCULATOR'!D16</f>
        <v>0</v>
      </c>
      <c r="D7" s="6" t="s">
        <v>127</v>
      </c>
    </row>
    <row r="8" spans="2:4" x14ac:dyDescent="0.25">
      <c r="B8" s="8" t="s">
        <v>128</v>
      </c>
      <c r="C8" s="14">
        <f>C6+C7</f>
        <v>0</v>
      </c>
      <c r="D8" s="6" t="s">
        <v>129</v>
      </c>
    </row>
    <row r="10" spans="2:2" x14ac:dyDescent="0.25">
      <c r="B10" s="7" t="s">
        <v>130</v>
      </c>
    </row>
    <row r="11" spans="2:4" x14ac:dyDescent="0.25">
      <c r="B11" s="4" t="s">
        <v>131</v>
      </c>
      <c r="C11" s="13">
        <f>'COST CALCULATOR'!C41</f>
        <v>0</v>
      </c>
      <c r="D11" s="6" t="s">
        <v>127</v>
      </c>
    </row>
    <row r="12" spans="2:4" x14ac:dyDescent="0.25">
      <c r="B12" s="8" t="s">
        <v>132</v>
      </c>
      <c r="C12" s="14">
        <f>C11</f>
        <v>0</v>
      </c>
      <c r="D12" s="6" t="s">
        <v>129</v>
      </c>
    </row>
    <row r="14" spans="2:2" x14ac:dyDescent="0.25">
      <c r="B14" s="7" t="s">
        <v>133</v>
      </c>
    </row>
    <row r="15" spans="2:3" x14ac:dyDescent="0.25">
      <c r="B15" s="4" t="s">
        <v>134</v>
      </c>
      <c r="C15" s="14">
        <f>C8/12</f>
        <v>0</v>
      </c>
    </row>
    <row r="16" spans="2:3" x14ac:dyDescent="0.25">
      <c r="B16" s="4" t="s">
        <v>135</v>
      </c>
      <c r="C16" s="14">
        <f>C12/12</f>
        <v>0</v>
      </c>
    </row>
    <row r="18" spans="2:2" x14ac:dyDescent="0.25">
      <c r="B18" s="7" t="s">
        <v>136</v>
      </c>
    </row>
    <row r="19" spans="2:3" x14ac:dyDescent="0.25">
      <c r="B19" s="4" t="s">
        <v>137</v>
      </c>
      <c r="C19" s="13">
        <f>'PROFILE &amp; INPUTS'!C42</f>
        <v>0</v>
      </c>
    </row>
    <row r="20" spans="2:3" x14ac:dyDescent="0.25">
      <c r="B20" s="4" t="s">
        <v>138</v>
      </c>
      <c r="C20" s="15">
        <f>IF('PROFILE &amp; INPUTS'!C42=0,0,C8/('PROFILE &amp; INPUTS'!C42*12))</f>
        <v>0</v>
      </c>
    </row>
    <row r="21" spans="2:3" x14ac:dyDescent="0.25">
      <c r="B21" s="4" t="s">
        <v>139</v>
      </c>
      <c r="C21" s="15">
        <f>IF('PROFILE &amp; INPUTS'!C42=0,0,C13/'PROFILE &amp; INPUTS'!C42)</f>
        <v>0</v>
      </c>
    </row>
    <row r="23" spans="2:2" x14ac:dyDescent="0.25">
      <c r="B23" s="3" t="s">
        <v>140</v>
      </c>
    </row>
    <row r="24" spans="2:2" x14ac:dyDescent="0.25">
      <c r="B24" s="6" t="s">
        <v>141</v>
      </c>
    </row>
    <row r="25" spans="2:2" x14ac:dyDescent="0.25">
      <c r="B25" s="6" t="s">
        <v>142</v>
      </c>
    </row>
    <row r="26" spans="2:2" x14ac:dyDescent="0.25">
      <c r="B26" s="6" t="s">
        <v>143</v>
      </c>
    </row>
    <row r="27" spans="2:2" x14ac:dyDescent="0.25">
      <c r="B27" s="6" t="s">
        <v>144</v>
      </c>
    </row>
    <row r="28" spans="2:2" x14ac:dyDescent="0.25">
      <c r="B28" s="6" t="s">
        <v>145</v>
      </c>
    </row>
    <row r="29" spans="2:2" x14ac:dyDescent="0.25">
      <c r="B29" s="6" t="s">
        <v>146</v>
      </c>
    </row>
    <row r="30" spans="2:2" x14ac:dyDescent="0.25">
      <c r="B30" s="6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FormatPr defaultRowHeight="15" outlineLevelRow="0" outlineLevelCol="0" x14ac:dyDescent="55"/>
  <cols>
    <col min="2" max="2" width="5" customWidth="1"/>
    <col min="3" max="3" width="48" customWidth="1"/>
    <col min="4" max="4" width="24" customWidth="1"/>
    <col min="5" max="5" width="14" customWidth="1"/>
    <col min="6" max="6" width="16" customWidth="1"/>
    <col min="7" max="7" width="18" customWidth="1"/>
    <col min="8" max="8" width="40" customWidth="1"/>
  </cols>
  <sheetData>
    <row r="2" spans="2:2" x14ac:dyDescent="0.25">
      <c r="B2" s="1" t="s">
        <v>148</v>
      </c>
    </row>
    <row r="3" spans="2:2" x14ac:dyDescent="0.25">
      <c r="B3" s="2" t="s">
        <v>149</v>
      </c>
    </row>
    <row r="5" spans="2:8" x14ac:dyDescent="0.25">
      <c r="B5" s="12" t="s">
        <v>150</v>
      </c>
      <c r="C5" s="12" t="s">
        <v>151</v>
      </c>
      <c r="D5" s="12" t="s">
        <v>152</v>
      </c>
      <c r="E5" s="12" t="s">
        <v>153</v>
      </c>
      <c r="F5" s="12" t="s">
        <v>154</v>
      </c>
      <c r="G5" s="12" t="s">
        <v>155</v>
      </c>
      <c r="H5" s="12" t="s">
        <v>156</v>
      </c>
    </row>
    <row r="6" spans="2:8" x14ac:dyDescent="0.25">
      <c r="B6" s="4">
        <v>1</v>
      </c>
      <c r="C6" s="9" t="s">
        <v>157</v>
      </c>
      <c r="D6" s="9" t="s">
        <v>158</v>
      </c>
      <c r="E6" s="11" t="s">
        <v>159</v>
      </c>
      <c r="F6" s="11" t="s">
        <v>25</v>
      </c>
      <c r="G6" s="13">
        <v>0</v>
      </c>
      <c r="H6" s="9" t="s">
        <v>160</v>
      </c>
    </row>
    <row r="7" spans="2:8" x14ac:dyDescent="0.25">
      <c r="B7" s="4">
        <v>2</v>
      </c>
      <c r="C7" s="9" t="s">
        <v>161</v>
      </c>
      <c r="D7" s="9" t="s">
        <v>162</v>
      </c>
      <c r="E7" s="11" t="s">
        <v>159</v>
      </c>
      <c r="F7" s="11" t="s">
        <v>25</v>
      </c>
      <c r="G7" s="13">
        <v>0</v>
      </c>
      <c r="H7" s="9" t="s">
        <v>163</v>
      </c>
    </row>
    <row r="8" spans="2:8" x14ac:dyDescent="0.25">
      <c r="B8" s="4">
        <v>3</v>
      </c>
      <c r="C8" s="9" t="s">
        <v>164</v>
      </c>
      <c r="D8" s="9" t="s">
        <v>165</v>
      </c>
      <c r="E8" s="11" t="s">
        <v>159</v>
      </c>
      <c r="F8" s="11" t="s">
        <v>25</v>
      </c>
      <c r="G8" s="13">
        <f>'MONTHLY YEARLY TCO'!C8</f>
        <v>0</v>
      </c>
      <c r="H8" s="9" t="s">
        <v>166</v>
      </c>
    </row>
    <row r="9" spans="2:8" x14ac:dyDescent="0.25">
      <c r="B9" s="4">
        <v>4</v>
      </c>
      <c r="C9" s="9" t="s">
        <v>167</v>
      </c>
      <c r="D9" s="9" t="s">
        <v>168</v>
      </c>
      <c r="E9" s="11" t="s">
        <v>159</v>
      </c>
      <c r="F9" s="11" t="s">
        <v>25</v>
      </c>
      <c r="G9" s="13">
        <v>5000</v>
      </c>
      <c r="H9" s="9" t="s">
        <v>169</v>
      </c>
    </row>
    <row r="10" spans="2:8" x14ac:dyDescent="0.25">
      <c r="B10" s="4">
        <v>5</v>
      </c>
      <c r="C10" s="9" t="s">
        <v>170</v>
      </c>
      <c r="D10" s="9" t="s">
        <v>171</v>
      </c>
      <c r="E10" s="11" t="s">
        <v>159</v>
      </c>
      <c r="F10" s="11" t="s">
        <v>25</v>
      </c>
      <c r="G10" s="13">
        <f>'PROFILE &amp; INPUTS'!C24</f>
        <v>0</v>
      </c>
      <c r="H10" s="9" t="s">
        <v>172</v>
      </c>
    </row>
    <row r="11" spans="2:8" x14ac:dyDescent="0.25">
      <c r="B11" s="4">
        <v>6</v>
      </c>
      <c r="C11" s="9" t="s">
        <v>173</v>
      </c>
      <c r="D11" s="9" t="s">
        <v>174</v>
      </c>
      <c r="E11" s="11" t="s">
        <v>159</v>
      </c>
      <c r="F11" s="11" t="s">
        <v>25</v>
      </c>
      <c r="G11" s="13">
        <f>'PROFILE &amp; INPUTS'!C25</f>
        <v>0</v>
      </c>
      <c r="H11" s="9" t="s">
        <v>175</v>
      </c>
    </row>
    <row r="12" spans="2:8" x14ac:dyDescent="0.25">
      <c r="B12" s="4">
        <v>7</v>
      </c>
      <c r="C12" s="9" t="s">
        <v>176</v>
      </c>
      <c r="D12" s="9" t="s">
        <v>177</v>
      </c>
      <c r="E12" s="11" t="s">
        <v>159</v>
      </c>
      <c r="F12" s="11" t="s">
        <v>25</v>
      </c>
      <c r="G12" s="13">
        <f>'PROFILE &amp; INPUTS'!C34</f>
        <v>0</v>
      </c>
      <c r="H12" s="9" t="s">
        <v>178</v>
      </c>
    </row>
    <row r="13" spans="2:8" x14ac:dyDescent="0.25">
      <c r="B13" s="4">
        <v>8</v>
      </c>
      <c r="C13" s="9" t="s">
        <v>179</v>
      </c>
      <c r="D13" s="9" t="s">
        <v>180</v>
      </c>
      <c r="E13" s="11" t="s">
        <v>159</v>
      </c>
      <c r="F13" s="11" t="s">
        <v>25</v>
      </c>
      <c r="G13" s="13">
        <f>'PROFILE &amp; INPUTS'!C22+'PROFILE &amp; INPUTS'!C23</f>
        <v>0</v>
      </c>
      <c r="H13" s="9" t="s">
        <v>181</v>
      </c>
    </row>
    <row r="14" spans="2:8" x14ac:dyDescent="0.25">
      <c r="B14" s="4">
        <v>9</v>
      </c>
      <c r="C14" s="9" t="s">
        <v>182</v>
      </c>
      <c r="D14" s="9" t="s">
        <v>183</v>
      </c>
      <c r="E14" s="11" t="s">
        <v>159</v>
      </c>
      <c r="F14" s="11" t="s">
        <v>25</v>
      </c>
      <c r="G14" s="13">
        <f>'PROFILE &amp; INPUTS'!C19</f>
        <v>0</v>
      </c>
      <c r="H14" s="9" t="s">
        <v>184</v>
      </c>
    </row>
    <row r="15" spans="2:8" x14ac:dyDescent="0.25">
      <c r="B15" s="4">
        <v>10</v>
      </c>
      <c r="C15" s="9" t="s">
        <v>185</v>
      </c>
      <c r="D15" s="9" t="s">
        <v>171</v>
      </c>
      <c r="E15" s="11" t="s">
        <v>186</v>
      </c>
      <c r="F15" s="11" t="s">
        <v>25</v>
      </c>
      <c r="G15" s="13">
        <v>0</v>
      </c>
      <c r="H15" s="9" t="s">
        <v>187</v>
      </c>
    </row>
    <row r="16" spans="2:8" x14ac:dyDescent="0.25">
      <c r="B16" s="4">
        <v>11</v>
      </c>
      <c r="C16" s="9" t="s">
        <v>188</v>
      </c>
      <c r="D16" s="9" t="s">
        <v>189</v>
      </c>
      <c r="E16" s="11" t="s">
        <v>186</v>
      </c>
      <c r="F16" s="11" t="s">
        <v>25</v>
      </c>
      <c r="G16" s="13">
        <f>'PROFILE &amp; INPUTS'!C10+'PROFILE &amp; INPUTS'!C11+'PROFILE &amp; INPUTS'!C12+'PROFILE &amp; INPUTS'!C13</f>
        <v>0</v>
      </c>
      <c r="H16" s="9" t="s">
        <v>190</v>
      </c>
    </row>
    <row r="17" spans="2:8" x14ac:dyDescent="0.25">
      <c r="B17" s="4">
        <v>12</v>
      </c>
      <c r="C17" s="9" t="s">
        <v>191</v>
      </c>
      <c r="D17" s="9" t="s">
        <v>192</v>
      </c>
      <c r="E17" s="11" t="s">
        <v>186</v>
      </c>
      <c r="F17" s="11" t="s">
        <v>25</v>
      </c>
      <c r="G17" s="13">
        <f>'PROFILE &amp; INPUTS'!C24*2</f>
        <v>0</v>
      </c>
      <c r="H17" s="9" t="s">
        <v>193</v>
      </c>
    </row>
    <row r="18" spans="2:8" x14ac:dyDescent="0.25">
      <c r="B18" s="4">
        <v>13</v>
      </c>
      <c r="C18" s="9" t="s">
        <v>194</v>
      </c>
      <c r="D18" s="9" t="s">
        <v>195</v>
      </c>
      <c r="E18" s="11" t="s">
        <v>186</v>
      </c>
      <c r="F18" s="11" t="s">
        <v>25</v>
      </c>
      <c r="G18" s="13">
        <f>'PROFILE &amp; INPUTS'!C34</f>
        <v>0</v>
      </c>
      <c r="H18" s="9" t="s">
        <v>196</v>
      </c>
    </row>
    <row r="19" spans="2:8" x14ac:dyDescent="0.25">
      <c r="B19" s="4">
        <v>14</v>
      </c>
      <c r="C19" s="9" t="s">
        <v>197</v>
      </c>
      <c r="D19" s="9" t="s">
        <v>195</v>
      </c>
      <c r="E19" s="11" t="s">
        <v>198</v>
      </c>
      <c r="F19" s="11" t="s">
        <v>25</v>
      </c>
      <c r="G19" s="13">
        <f>'PROFILE &amp; INPUTS'!C40</f>
        <v>0</v>
      </c>
      <c r="H19" s="9" t="s">
        <v>199</v>
      </c>
    </row>
    <row r="20" spans="2:8" x14ac:dyDescent="0.25">
      <c r="B20" s="4">
        <v>15</v>
      </c>
      <c r="C20" s="9" t="s">
        <v>200</v>
      </c>
      <c r="D20" s="9" t="s">
        <v>201</v>
      </c>
      <c r="E20" s="11" t="s">
        <v>186</v>
      </c>
      <c r="F20" s="11" t="s">
        <v>25</v>
      </c>
      <c r="G20" s="13">
        <v>0</v>
      </c>
      <c r="H20" s="9" t="s">
        <v>202</v>
      </c>
    </row>
    <row r="21" spans="2:8" x14ac:dyDescent="0.25">
      <c r="B21" s="4">
        <v>16</v>
      </c>
      <c r="C21" s="9" t="s">
        <v>203</v>
      </c>
      <c r="D21" s="9" t="s">
        <v>204</v>
      </c>
      <c r="E21" s="11" t="s">
        <v>198</v>
      </c>
      <c r="F21" s="11" t="s">
        <v>25</v>
      </c>
      <c r="G21" s="13">
        <f>'PROFILE &amp; INPUTS'!C41</f>
        <v>0</v>
      </c>
      <c r="H21" s="9" t="s">
        <v>205</v>
      </c>
    </row>
    <row r="22" spans="2:8" x14ac:dyDescent="0.25">
      <c r="B22" s="4">
        <v>17</v>
      </c>
      <c r="C22" s="9" t="s">
        <v>206</v>
      </c>
      <c r="D22" s="9" t="s">
        <v>165</v>
      </c>
      <c r="E22" s="11" t="s">
        <v>186</v>
      </c>
      <c r="F22" s="11" t="s">
        <v>25</v>
      </c>
      <c r="G22" s="13">
        <v>0</v>
      </c>
      <c r="H22" s="9" t="s">
        <v>207</v>
      </c>
    </row>
    <row r="25" spans="2:2" x14ac:dyDescent="0.25">
      <c r="B25" s="7" t="s">
        <v>208</v>
      </c>
    </row>
    <row r="26" spans="2:3" x14ac:dyDescent="0.25">
      <c r="B26" s="4" t="s">
        <v>209</v>
      </c>
      <c r="C26" s="16">
        <f>COUNTA(C6:C22)</f>
        <v>0</v>
      </c>
    </row>
    <row r="27" spans="2:3" x14ac:dyDescent="0.25">
      <c r="B27" s="4" t="s">
        <v>210</v>
      </c>
      <c r="C27" s="17">
        <f>COUNTIF(E6:E22,"High")</f>
        <v>0</v>
      </c>
    </row>
    <row r="28" spans="2:3" x14ac:dyDescent="0.25">
      <c r="B28" s="4" t="s">
        <v>211</v>
      </c>
      <c r="C28" s="16">
        <f>COUNTIF(F6:F22,"Not Started")</f>
        <v>0</v>
      </c>
    </row>
    <row r="29" spans="2:3" x14ac:dyDescent="0.25">
      <c r="B29" s="4" t="s">
        <v>212</v>
      </c>
      <c r="C29" s="18">
        <f>COUNTIF(F6:F22,"In Progress")</f>
        <v>0</v>
      </c>
    </row>
    <row r="30" spans="2:3" x14ac:dyDescent="0.25">
      <c r="B30" s="4" t="s">
        <v>213</v>
      </c>
      <c r="C30" s="19">
        <f>COUNTIF(F6:F22,"Done")</f>
        <v>0</v>
      </c>
    </row>
    <row r="31" spans="2:3" x14ac:dyDescent="0.25">
      <c r="B31" s="4" t="s">
        <v>214</v>
      </c>
      <c r="C31" s="14">
        <f>SUMIF(E6:E22,"High",G6:G22)</f>
        <v>0</v>
      </c>
    </row>
  </sheetData>
  <dataValidations count="2">
    <dataValidation type="list" allowBlank="1" showErrorMessage="1" errorTitle="Invalid Priority" sqref="E6:E22">
      <formula1>"High,Medium,Low"</formula1>
    </dataValidation>
    <dataValidation type="list" allowBlank="1" showErrorMessage="1" errorTitle="Invalid Status" sqref="F6:F22">
      <formula1>"Not Started,In Progress,Done,Blocked,N/A"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PROFILE &amp; INPUTS</vt:lpstr>
      <vt:lpstr>COST CALCULATOR</vt:lpstr>
      <vt:lpstr>MONTHLY YEARLY TCO</vt:lpstr>
      <vt:lpstr>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SGEventsHub</dc:creator>
  <dc:title/>
  <dc:subject/>
  <dc:description/>
  <cp:keywords/>
  <cp:category/>
  <cp:lastModifiedBy>Unknown</cp:lastModifiedBy>
  <dcterms:created xsi:type="dcterms:W3CDTF">2026-09-08T04:51:57Z</dcterms:created>
  <dcterms:modified xsi:type="dcterms:W3CDTF">2026-09-08T04:51:57Z</dcterms:modified>
</cp:coreProperties>
</file>