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INGREDIENTS" state="visible" r:id="rId5"/>
    <sheet sheetId="3" name="RECIPE COSTING" state="visible" r:id="rId6"/>
    <sheet sheetId="4" name="LABOUR &amp; OVERHEAD" state="visible" r:id="rId7"/>
    <sheet sheetId="5" name="PRICING &amp; PROFIT" state="visible" r:id="rId8"/>
    <sheet sheetId="6" name="UPGRADE SCENARIO" state="visible" r:id="rId9"/>
    <sheet sheetId="7" name="SOURCES &amp; NOTES" state="visible" r:id="rId10"/>
  </sheets>
  <calcPr calcId="171027"/>
</workbook>
</file>

<file path=xl/sharedStrings.xml><?xml version="1.0" encoding="utf-8"?>
<sst xmlns="http://schemas.openxmlformats.org/spreadsheetml/2006/main" count="183" uniqueCount="162">
  <si>
    <t>HOME BAKERY PRICING &amp; PROFIT CALCULATOR</t>
  </si>
  <si>
    <t>Singapore Edition — 2026</t>
  </si>
  <si>
    <t>Cost your bakes accurately — ingredients, packaging, labour and overhead — then price for real profit instead of guessing.</t>
  </si>
  <si>
    <t>WHAT THIS CALCULATOR DOES</t>
  </si>
  <si>
    <t>INGREDIENTS tab — build your ingredient database: what you bought, how much it cost, and the cost per gram/ml/unit.</t>
  </si>
  <si>
    <t>RECIPE COSTING — pick a recipe and enter quantities used; the sheet prices every ingredient line and totals the batch.</t>
  </si>
  <si>
    <t>LABOUR &amp; OVERHEAD — add your time value, utilities and equipment allowance; allocate them per batch and per item.</t>
  </si>
  <si>
    <t>PRICING &amp; PROFIT — see cost per item, suggested price at your target margin, profit per item and batch, and a monthly profit projection.</t>
  </si>
  <si>
    <t>UPGRADE SCENARIO — compare today's home operation against a shared-kitchen setup with higher overheads, and see what sales volume or pricing keeps your target margin.</t>
  </si>
  <si>
    <t>HOW TO USE IT — 4 STEPS</t>
  </si>
  <si>
    <t>STEP 1 · INGREDIENTS: enter each ingredient you buy — package size, unit and price. The sheet computes cost per usable unit automatically.</t>
  </si>
  <si>
    <t>STEP 2 · RECIPE COSTING: choose one recipe (the example uses a classic butter cookie batch). Enter quantity used per ingredient — costs flow in from the database.</t>
  </si>
  <si>
    <t>STEP 3 · LABOUR &amp; OVERHEAD: set your hourly rate, batch time, utility and equipment allowances on LABOUR &amp; OVERHEAD.</t>
  </si>
  <si>
    <t>STEP 4 · PRICING &amp; PROFIT: set your target margin and monthly volume. Review suggested pricing, margins and monthly profit. Then try the UPGRADE SCENARIO before renting any kitchen.</t>
  </si>
  <si>
    <t>GOOD TO KNOW</t>
  </si>
  <si>
    <t>Yellow cells are yours to edit. Blue/green cells calculate automatically — do not type into them.</t>
  </si>
  <si>
    <t>All pre-filled figures are clearly-labelled EXAMPLES using typical Singapore supermarket prices — replace them with your own receipts.</t>
  </si>
  <si>
    <t>Unit conversions supported: kg→g (×1000), g as-is, L→ml (×1000), ml as-is, units/pcs as-is.</t>
  </si>
  <si>
    <t>The calculator works entirely offline inside this file. It never fetches live prices.</t>
  </si>
  <si>
    <t>This is a business planning tool. It is NOT financial or tax advice. Check SFA/home-business rules yourself before selling.</t>
  </si>
  <si>
    <t>Disclaimer: For planning only — not financial, tax or legal advice. Verify current SFA guidance on home-based food businesses before operating.</t>
  </si>
  <si>
    <t>© SGEventsHub · Singapore Home Bakery Pricing &amp; Profit Calculator (2026) · v2026.1</t>
  </si>
  <si>
    <t>INGREDIENT DATABASE</t>
  </si>
  <si>
    <t>Enter each ingredient you actually buy. Cost-per-usable-unit calculates automatically. Recipe Costing pulls prices from here.</t>
  </si>
  <si>
    <t>Ingredient</t>
  </si>
  <si>
    <t>Package size</t>
  </si>
  <si>
    <t>Unit</t>
  </si>
  <si>
    <t>Package price</t>
  </si>
  <si>
    <t>Cost per unit (auto)</t>
  </si>
  <si>
    <t>Notes / brand</t>
  </si>
  <si>
    <t>Plain flour</t>
  </si>
  <si>
    <t>kg</t>
  </si>
  <si>
    <t>e.g., Prima — NTUC</t>
  </si>
  <si>
    <t>Butter (salted)</t>
  </si>
  <si>
    <t>g</t>
  </si>
  <si>
    <t>e.g., SCS block</t>
  </si>
  <si>
    <t>Icing sugar</t>
  </si>
  <si>
    <t>Fine grade</t>
  </si>
  <si>
    <t>Brown sugar</t>
  </si>
  <si>
    <t>Soft brown</t>
  </si>
  <si>
    <t>Eggs</t>
  </si>
  <si>
    <t>pcs</t>
  </si>
  <si>
    <t>Grade A, tray of 10</t>
  </si>
  <si>
    <t>Vanilla extract</t>
  </si>
  <si>
    <t>ml</t>
  </si>
  <si>
    <t>Pure extract</t>
  </si>
  <si>
    <t>Baking powder</t>
  </si>
  <si>
    <t>Double acting</t>
  </si>
  <si>
    <t>Salt</t>
  </si>
  <si>
    <t>Table salt</t>
  </si>
  <si>
    <t>Chocolate chips</t>
  </si>
  <si>
    <t>Dark, baking chips</t>
  </si>
  <si>
    <t>Full-fat milk</t>
  </si>
  <si>
    <t>L</t>
  </si>
  <si>
    <t>Fresh, UHT ok</t>
  </si>
  <si>
    <t>How cost-per-unit works: kg and L are converted to g and ml respectively (÷1000 factor), then price ÷ converted size. Units like pcs divide directly. Add more ingredients in the blank rows.</t>
  </si>
  <si>
    <t>RECIPE COSTING</t>
  </si>
  <si>
    <t>Example recipe: Classic Butter Cookies (24 pieces). Enter quantity used — line costs pull from the INGREDIENTS database.</t>
  </si>
  <si>
    <t>Qty used</t>
  </si>
  <si>
    <t>Line cost (auto)</t>
  </si>
  <si>
    <t>% of ingredient cost</t>
  </si>
  <si>
    <t>Notes</t>
  </si>
  <si>
    <t>TOTAL INGREDIENT COST</t>
  </si>
  <si>
    <t>PACKAGING &amp; YIELD</t>
  </si>
  <si>
    <t>Batch yield (pieces)</t>
  </si>
  <si>
    <t>Packaging cost per piece</t>
  </si>
  <si>
    <t>Packaging cost per batch (auto)</t>
  </si>
  <si>
    <t>Named cells used downstream: TOTAL INGREDIENT COST (E10), Yield (C13), Packaging/batch (C15). LABOUR &amp; OVERHEAD adds the rest.</t>
  </si>
  <si>
    <t>LABOUR, UTILITIES &amp; OVERHEAD</t>
  </si>
  <si>
    <t>Pay yourself properly. These costs are allocated per batch and per item on PRICING &amp; PROFIT.</t>
  </si>
  <si>
    <t>YOUR TIME</t>
  </si>
  <si>
    <t>Your target hourly rate</t>
  </si>
  <si>
    <t>What an hour of your skilled baking time should earn.</t>
  </si>
  <si>
    <t>Hours per batch (prep+bake+clean)</t>
  </si>
  <si>
    <t>Be honest — include washing up and cooling time.</t>
  </si>
  <si>
    <t>UTILITIES PER BATCH</t>
  </si>
  <si>
    <t>Electricity / gas per batch</t>
  </si>
  <si>
    <t>Oven + mixer + hob estimate. Split monthly bill by batches baked.</t>
  </si>
  <si>
    <t>MONTHLY OVERHEAD (ALLOCATED)</t>
  </si>
  <si>
    <t>Equipment depreciation / month</t>
  </si>
  <si>
    <t>Mixer, oven, tins ÷ useful months. Example: S$900 gear over 36 months ≈ S$25.</t>
  </si>
  <si>
    <t>Other overheads / month</t>
  </si>
  <si>
    <t>Packaging stock storage, listing fees, samples, etc.</t>
  </si>
  <si>
    <t>Batches you bake per month</t>
  </si>
  <si>
    <t>Used to split monthly overhead across batches.</t>
  </si>
  <si>
    <t>CALCULATED ALLOCATIONS</t>
  </si>
  <si>
    <t>Labour cost per batch</t>
  </si>
  <si>
    <t>Hourly rate × hours per batch.</t>
  </si>
  <si>
    <t>Monthly overhead total</t>
  </si>
  <si>
    <t>Equipment + other recurring overheads.</t>
  </si>
  <si>
    <t>Overhead allocated per batch</t>
  </si>
  <si>
    <t>Monthly overhead ÷ batches per month. Guarded against divide-by-zero.</t>
  </si>
  <si>
    <t>Utilities + overhead per batch</t>
  </si>
  <si>
    <t>Added on top of labour when costing a batch.</t>
  </si>
  <si>
    <t>PRICING, MARGIN &amp; MONTHLY PROFIT</t>
  </si>
  <si>
    <t>All values flow from RECIPE COSTING and LABOUR &amp; OVERHEAD. Only yellow cells are editable.</t>
  </si>
  <si>
    <t>FULL BATCH COST</t>
  </si>
  <si>
    <t>Ingredients per batch</t>
  </si>
  <si>
    <t>Packaging per batch</t>
  </si>
  <si>
    <t>Labour per batch</t>
  </si>
  <si>
    <t>TOTAL COST PER BATCH</t>
  </si>
  <si>
    <t>Pieces per batch</t>
  </si>
  <si>
    <t>COST PER ITEM</t>
  </si>
  <si>
    <t>SET YOUR PRICE</t>
  </si>
  <si>
    <t>Target gross margin</t>
  </si>
  <si>
    <t>45% means cost is 55% of price. Typical home-bakery range: 40–60%.</t>
  </si>
  <si>
    <t>Suggested price per item</t>
  </si>
  <si>
    <t>Cost ÷ (1 − margin).</t>
  </si>
  <si>
    <t>Your chosen price per item</t>
  </si>
  <si>
    <t>What you will actually charge (round for the market).</t>
  </si>
  <si>
    <t>Gross profit per item</t>
  </si>
  <si>
    <t>Margin at your price</t>
  </si>
  <si>
    <t>BATCH &amp; MONTHLY PROJECTION</t>
  </si>
  <si>
    <t>Profit per batch</t>
  </si>
  <si>
    <t>Items sold per month</t>
  </si>
  <si>
    <t>Batches needed per month</t>
  </si>
  <si>
    <t>PROJECTED MONTHLY PROFIT</t>
  </si>
  <si>
    <t>Projected monthly revenue</t>
  </si>
  <si>
    <t>SHARED-KITCHEN UPGRADE SCENARIO</t>
  </si>
  <si>
    <t>Compare today's home operation vs renting shared-kitchen hours. What volume or price keeps your target margin?</t>
  </si>
  <si>
    <t>SCENARIO INPUTS</t>
  </si>
  <si>
    <t>Home: full cost per item (from Pricing)</t>
  </si>
  <si>
    <t>Shared kitchen hourly rate</t>
  </si>
  <si>
    <t>Typical SG shared/commercial kitchens: S$20–40/hr.</t>
  </si>
  <si>
    <t>Extra hours needed per batch</t>
  </si>
  <si>
    <t>Load-in, load-out, compliance cleaning.</t>
  </si>
  <si>
    <t>Shared kitchen fixed monthly fee</t>
  </si>
  <si>
    <t>Locker/storage/membership if applicable.</t>
  </si>
  <si>
    <t>Planned batches per month (upgraded)</t>
  </si>
  <si>
    <t>Target margin (same as Pricing)</t>
  </si>
  <si>
    <t>SCENARIO COMPARISON</t>
  </si>
  <si>
    <t>Scenario</t>
  </si>
  <si>
    <t>Cost/item</t>
  </si>
  <si>
    <t>Break-even items/month</t>
  </si>
  <si>
    <t>A · Home (current)</t>
  </si>
  <si>
    <t>Items/month to cover your monthly overheads at your chosen price.</t>
  </si>
  <si>
    <t>B · Shared kitchen</t>
  </si>
  <si>
    <t>Adds hourly cost spread per item + fixed fee spread across planned output.</t>
  </si>
  <si>
    <t>SOURCES, ASSUMPTIONS &amp; NOTES</t>
  </si>
  <si>
    <t>Official references and assumption disclosures for this calculator.</t>
  </si>
  <si>
    <t>Regulatory Context (verify current rules)</t>
  </si>
  <si>
    <t>• SFA — Home-Based Food Businesses guidance (small-scale, for household income): https://www.sfa.gov.sg/</t>
  </si>
  <si>
    <t>• URA/HDB — home use rules for private residential and HDB premises; no employment of external staff for HDB home businesses.</t>
  </si>
  <si>
    <t>• NEA — environmental hygiene expectations for food preparation at home.</t>
  </si>
  <si>
    <t>• IRAS — income from side businesses may be taxable; keep records. https://www.iras.gov.sg/</t>
  </si>
  <si>
    <t>• Rules evolve — always confirm on official portals before scaling up.</t>
  </si>
  <si>
    <t>Pricing Assumptions Used</t>
  </si>
  <si>
    <t>• Ingredient prices: typical Singapore supermarket (NTUC FairPrice) shelf prices, 2026 examples.</t>
  </si>
  <si>
    <t>• Labour rate default S$18/hr — a placeholder for YOUR opportunity cost; adjust freely.</t>
  </si>
  <si>
    <t>• Utilities per batch estimated from typical domestic oven usage (~S$2.50–3.00).</t>
  </si>
  <si>
    <t>• Equipment depreciation: straight-line over ~36 months of moderate home use.</t>
  </si>
  <si>
    <t>• Packaging: simple kraft box + liner ≈ S$0.25/piece in bulk.</t>
  </si>
  <si>
    <t>• Target margin default 45%; common sustainable range for micro-bakeries: 40–60%.</t>
  </si>
  <si>
    <t>Method Notes</t>
  </si>
  <si>
    <t>• Cost per usable unit converts kg→g and L→ml (×1000) so recipe quantities in g/ml price correctly.</t>
  </si>
  <si>
    <t>• Overheads are allocated per batch via planned monthly batches; update that number as reality lands.</t>
  </si>
  <si>
    <t>• The upgrade scenario spreads hourly kitchen rates across one batch's yield, and fixed monthly fees across planned monthly output.</t>
  </si>
  <si>
    <t>• Break-even items/month = fixed monthly costs ÷ contribution per item.</t>
  </si>
  <si>
    <t>Disclaimers</t>
  </si>
  <si>
    <t>• Planning tool only — NOT financial, tax or legal advice.</t>
  </si>
  <si>
    <t>• Prices and rules change; validate assumptions against your own receipts and official sites.</t>
  </si>
  <si>
    <t>• Profit projections assume steady demand; real months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</si>
</sst>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###"/>
    <numFmt numFmtId="165" formatCode="&quot;S$&quot;#,##0.00"/>
    <numFmt numFmtId="166" formatCode="&quot;S$&quot;0.0000"/>
    <numFmt numFmtId="167" formatCode="0.##"/>
    <numFmt numFmtId="168" formatCode="0.0%"/>
    <numFmt numFmtId="169" formatCode="0.0#"/>
  </numFmts>
  <fonts count="16" x14ac:knownFonts="1">
    <font>
      <color theme="1"/>
      <family val="2"/>
      <scheme val="minor"/>
      <sz val="11"/>
      <name val="Calibri"/>
    </font>
    <font>
      <b/>
      <color rgb="FFFFFFFF"/>
      <sz val="26"/>
      <name val="Calibri"/>
    </font>
    <font>
      <b/>
      <color rgb="FFFFFFFF"/>
      <sz val="14"/>
      <name val="Calibri"/>
    </font>
    <font>
      <i/>
      <color rgb="FF0F172A"/>
      <sz val="12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  <font>
      <color rgb="FF64748B"/>
      <sz val="9"/>
      <name val="Calibri"/>
    </font>
    <font>
      <b/>
      <color rgb="FFFFFFFF"/>
      <sz val="15"/>
      <name val="Calibri"/>
    </font>
    <font>
      <i/>
      <color rgb="FF64748B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FFFFFF"/>
      <sz val="12"/>
      <name val="Calibri"/>
    </font>
    <font>
      <b/>
      <color rgb="FF0F172A"/>
      <sz val="12"/>
      <name val="Calibri"/>
    </font>
    <font>
      <i/>
      <color rgb="FF0F172A"/>
      <sz val="10"/>
      <name val="Calibri"/>
    </font>
    <font>
      <color rgb="FF0F172A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FF3C4"/>
      </patternFill>
    </fill>
    <fill>
      <patternFill patternType="solid">
        <fgColor rgb="FFDBEAFE"/>
      </patternFill>
    </fill>
    <fill>
      <patternFill patternType="solid">
        <fgColor rgb="FFEFF4FF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9333EA"/>
      </patternFill>
    </fill>
    <fill>
      <patternFill patternType="solid">
        <fgColor rgb="FFFFEDD5"/>
      </patternFill>
    </fill>
    <fill>
      <patternFill patternType="solid">
        <fgColor rgb="FFEA580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vertical="top" wrapText="1" indent="1"/>
    </xf>
    <xf numFmtId="0" fontId="6" fillId="4" borderId="1" xfId="0" applyFont="1" applyFill="1" applyBorder="1" applyAlignment="1">
      <alignment vertical="center" wrapText="1" inden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 applyProtection="1">
      <alignment vertical="center" wrapText="1" indent="1"/>
      <protection locked="0"/>
    </xf>
    <xf numFmtId="164" fontId="6" fillId="4" borderId="1" xfId="0" applyNumberFormat="1" applyFont="1" applyFill="1" applyBorder="1" applyAlignment="1" applyProtection="1">
      <alignment horizontal="right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165" fontId="6" fillId="4" borderId="1" xfId="0" applyNumberFormat="1" applyFont="1" applyFill="1" applyBorder="1" applyAlignment="1" applyProtection="1">
      <alignment horizontal="right" vertical="center"/>
      <protection locked="0"/>
    </xf>
    <xf numFmtId="166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 applyProtection="1">
      <alignment vertical="center" wrapText="1"/>
      <protection locked="0"/>
    </xf>
    <xf numFmtId="0" fontId="5" fillId="4" borderId="1" xfId="0" applyFont="1" applyFill="1" applyBorder="1" applyProtection="1"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5" fillId="4" borderId="1" xfId="0" applyNumberFormat="1" applyFont="1" applyFill="1" applyBorder="1" applyProtection="1">
      <protection locked="0"/>
    </xf>
    <xf numFmtId="166" fontId="0" fillId="6" borderId="1" xfId="0" applyNumberFormat="1" applyFill="1" applyBorder="1" applyAlignment="1">
      <alignment horizontal="right" vertical="center"/>
    </xf>
    <xf numFmtId="0" fontId="11" fillId="0" borderId="0" xfId="0" applyFont="1" applyAlignment="1">
      <alignment vertical="top" wrapText="1" indent="1"/>
    </xf>
    <xf numFmtId="0" fontId="5" fillId="0" borderId="0" xfId="0" applyFont="1" applyAlignment="1">
      <alignment vertical="center" wrapText="1" indent="1"/>
    </xf>
    <xf numFmtId="167" fontId="6" fillId="4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0" fontId="12" fillId="7" borderId="0" xfId="0" applyFont="1" applyFill="1" applyAlignment="1">
      <alignment vertical="center" indent="1"/>
    </xf>
    <xf numFmtId="165" fontId="13" fillId="8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 indent="1"/>
    </xf>
    <xf numFmtId="0" fontId="5" fillId="0" borderId="0" xfId="0" applyFont="1" applyAlignment="1">
      <alignment vertical="center" indent="1"/>
    </xf>
    <xf numFmtId="1" fontId="6" fillId="4" borderId="1" xfId="0" applyNumberFormat="1" applyFont="1" applyFill="1" applyBorder="1" applyAlignment="1" applyProtection="1">
      <alignment horizontal="right" vertical="center"/>
      <protection locked="0"/>
    </xf>
    <xf numFmtId="165" fontId="6" fillId="5" borderId="1" xfId="0" applyNumberFormat="1" applyFont="1" applyFill="1" applyBorder="1" applyAlignment="1">
      <alignment horizontal="right" vertical="center"/>
    </xf>
    <xf numFmtId="0" fontId="4" fillId="9" borderId="0" xfId="0" applyFont="1" applyFill="1" applyAlignment="1">
      <alignment horizontal="left" vertical="center" indent="1"/>
    </xf>
    <xf numFmtId="0" fontId="11" fillId="0" borderId="0" xfId="0" applyFont="1" applyAlignment="1">
      <alignment vertical="center" wrapText="1"/>
    </xf>
    <xf numFmtId="169" fontId="6" fillId="4" borderId="1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>
      <alignment vertical="center" wrapText="1" indent="1"/>
    </xf>
    <xf numFmtId="165" fontId="6" fillId="8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 applyProtection="1">
      <alignment horizontal="right" vertical="center"/>
      <protection locked="0"/>
    </xf>
    <xf numFmtId="168" fontId="6" fillId="6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 applyProtection="1">
      <alignment horizontal="right" vertical="center"/>
      <protection locked="0"/>
    </xf>
    <xf numFmtId="0" fontId="14" fillId="10" borderId="1" xfId="0" applyFont="1" applyFill="1" applyBorder="1" applyAlignment="1">
      <alignment vertical="center" wrapText="1" indent="1"/>
    </xf>
    <xf numFmtId="0" fontId="4" fillId="11" borderId="0" xfId="0" applyFont="1" applyFill="1" applyAlignment="1">
      <alignment horizontal="left" vertical="center" indent="1"/>
    </xf>
    <xf numFmtId="165" fontId="6" fillId="4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165" fontId="0" fillId="6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0" fontId="6" fillId="10" borderId="1" xfId="0" applyFont="1" applyFill="1" applyBorder="1" applyAlignment="1">
      <alignment vertical="center" wrapText="1" indent="1"/>
    </xf>
    <xf numFmtId="0" fontId="15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F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5" customWidth="1"/>
    <col min="3" max="6" width="20" customWidth="1"/>
  </cols>
  <sheetData>
    <row r="2" ht="46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5" ht="34" customHeight="1" spans="2:6" x14ac:dyDescent="0.25">
      <c r="B5" s="3" t="s">
        <v>2</v>
      </c>
      <c r="C5" s="3"/>
      <c r="D5" s="3"/>
      <c r="E5" s="3"/>
      <c r="F5" s="3"/>
    </row>
    <row r="7" ht="24" customHeight="1" spans="2:6" x14ac:dyDescent="0.25">
      <c r="B7" s="4" t="s">
        <v>3</v>
      </c>
      <c r="C7" s="4"/>
      <c r="D7" s="4"/>
      <c r="E7" s="4"/>
      <c r="F7" s="4"/>
    </row>
    <row r="8" ht="30" customHeight="1" spans="2:6" x14ac:dyDescent="0.25">
      <c r="B8" s="5" t="s">
        <v>4</v>
      </c>
      <c r="C8" s="5"/>
      <c r="D8" s="5"/>
      <c r="E8" s="5"/>
      <c r="F8" s="5"/>
    </row>
    <row r="9" ht="30" customHeight="1" spans="2:6" x14ac:dyDescent="0.25">
      <c r="B9" s="5" t="s">
        <v>5</v>
      </c>
      <c r="C9" s="5"/>
      <c r="D9" s="5"/>
      <c r="E9" s="5"/>
      <c r="F9" s="5"/>
    </row>
    <row r="10" ht="30" customHeight="1" spans="2:6" x14ac:dyDescent="0.25">
      <c r="B10" s="5" t="s">
        <v>6</v>
      </c>
      <c r="C10" s="5"/>
      <c r="D10" s="5"/>
      <c r="E10" s="5"/>
      <c r="F10" s="5"/>
    </row>
    <row r="11" ht="30" customHeight="1" spans="2:6" x14ac:dyDescent="0.25">
      <c r="B11" s="5" t="s">
        <v>7</v>
      </c>
      <c r="C11" s="5"/>
      <c r="D11" s="5"/>
      <c r="E11" s="5"/>
      <c r="F11" s="5"/>
    </row>
    <row r="12" ht="30" customHeight="1" spans="2:6" x14ac:dyDescent="0.25">
      <c r="B12" s="5" t="s">
        <v>8</v>
      </c>
      <c r="C12" s="5"/>
      <c r="D12" s="5"/>
      <c r="E12" s="5"/>
      <c r="F12" s="5"/>
    </row>
    <row r="14" ht="24" customHeight="1" spans="2:6" x14ac:dyDescent="0.25">
      <c r="B14" s="4" t="s">
        <v>9</v>
      </c>
      <c r="C14" s="4"/>
      <c r="D14" s="4"/>
      <c r="E14" s="4"/>
      <c r="F14" s="4"/>
    </row>
    <row r="15" ht="30" customHeight="1" spans="2:6" x14ac:dyDescent="0.25">
      <c r="B15" s="5" t="s">
        <v>10</v>
      </c>
      <c r="C15" s="5"/>
      <c r="D15" s="5"/>
      <c r="E15" s="5"/>
      <c r="F15" s="5"/>
    </row>
    <row r="16" ht="30" customHeight="1" spans="2:6" x14ac:dyDescent="0.25">
      <c r="B16" s="5" t="s">
        <v>11</v>
      </c>
      <c r="C16" s="5"/>
      <c r="D16" s="5"/>
      <c r="E16" s="5"/>
      <c r="F16" s="5"/>
    </row>
    <row r="17" ht="30" customHeight="1" spans="2:6" x14ac:dyDescent="0.25">
      <c r="B17" s="5" t="s">
        <v>12</v>
      </c>
      <c r="C17" s="5"/>
      <c r="D17" s="5"/>
      <c r="E17" s="5"/>
      <c r="F17" s="5"/>
    </row>
    <row r="18" ht="30" customHeight="1" spans="2:6" x14ac:dyDescent="0.25">
      <c r="B18" s="5" t="s">
        <v>13</v>
      </c>
      <c r="C18" s="5"/>
      <c r="D18" s="5"/>
      <c r="E18" s="5"/>
      <c r="F18" s="5"/>
    </row>
    <row r="20" ht="24" customHeight="1" spans="2:6" x14ac:dyDescent="0.25">
      <c r="B20" s="4" t="s">
        <v>14</v>
      </c>
      <c r="C20" s="4"/>
      <c r="D20" s="4"/>
      <c r="E20" s="4"/>
      <c r="F20" s="4"/>
    </row>
    <row r="21" ht="20" customHeight="1" spans="2:6" x14ac:dyDescent="0.25">
      <c r="B21" s="5" t="s">
        <v>15</v>
      </c>
      <c r="C21" s="5"/>
      <c r="D21" s="5"/>
      <c r="E21" s="5"/>
      <c r="F21" s="5"/>
    </row>
    <row r="22" ht="30" customHeight="1" spans="2:6" x14ac:dyDescent="0.25">
      <c r="B22" s="5" t="s">
        <v>16</v>
      </c>
      <c r="C22" s="5"/>
      <c r="D22" s="5"/>
      <c r="E22" s="5"/>
      <c r="F22" s="5"/>
    </row>
    <row r="23" ht="20" customHeight="1" spans="2:6" x14ac:dyDescent="0.25">
      <c r="B23" s="5" t="s">
        <v>17</v>
      </c>
      <c r="C23" s="5"/>
      <c r="D23" s="5"/>
      <c r="E23" s="5"/>
      <c r="F23" s="5"/>
    </row>
    <row r="24" ht="20" customHeight="1" spans="2:6" x14ac:dyDescent="0.25">
      <c r="B24" s="5" t="s">
        <v>18</v>
      </c>
      <c r="C24" s="5"/>
      <c r="D24" s="5"/>
      <c r="E24" s="5"/>
      <c r="F24" s="5"/>
    </row>
    <row r="25" ht="30" customHeight="1" spans="2:6" x14ac:dyDescent="0.25">
      <c r="B25" s="5" t="s">
        <v>19</v>
      </c>
      <c r="C25" s="5"/>
      <c r="D25" s="5"/>
      <c r="E25" s="5"/>
      <c r="F25" s="5"/>
    </row>
    <row r="27" ht="32" customHeight="1" spans="2:6" x14ac:dyDescent="0.25">
      <c r="B27" s="6" t="s">
        <v>20</v>
      </c>
      <c r="C27" s="6"/>
      <c r="D27" s="6"/>
      <c r="E27" s="6"/>
      <c r="F27" s="6"/>
    </row>
    <row r="29" spans="2:6" x14ac:dyDescent="0.25">
      <c r="B29" s="7" t="s">
        <v>21</v>
      </c>
      <c r="C29" s="7"/>
      <c r="D29" s="7"/>
      <c r="E29" s="7"/>
      <c r="F29" s="7"/>
    </row>
  </sheetData>
  <sheetProtection sheet="1"/>
  <mergeCells count="22">
    <mergeCell ref="B2:F2"/>
    <mergeCell ref="B3:F3"/>
    <mergeCell ref="B5:F5"/>
    <mergeCell ref="B7:F7"/>
    <mergeCell ref="B8:F8"/>
    <mergeCell ref="B9:F9"/>
    <mergeCell ref="B10:F10"/>
    <mergeCell ref="B11:F11"/>
    <mergeCell ref="B12:F12"/>
    <mergeCell ref="B14:F14"/>
    <mergeCell ref="B15:F15"/>
    <mergeCell ref="B16:F16"/>
    <mergeCell ref="B17:F17"/>
    <mergeCell ref="B18:F18"/>
    <mergeCell ref="B20:F20"/>
    <mergeCell ref="B21:F21"/>
    <mergeCell ref="B22:F22"/>
    <mergeCell ref="B23:F23"/>
    <mergeCell ref="B24:F24"/>
    <mergeCell ref="B25:F25"/>
    <mergeCell ref="B27:F27"/>
    <mergeCell ref="B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B1:H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12" customWidth="1"/>
    <col min="4" max="4" width="10" customWidth="1"/>
    <col min="5" max="5" width="13" customWidth="1"/>
    <col min="6" max="6" width="14" customWidth="1"/>
    <col min="7" max="7" width="44" customWidth="1"/>
  </cols>
  <sheetData>
    <row r="1" ht="34" customHeight="1" spans="2:8" x14ac:dyDescent="0.25">
      <c r="B1" s="8" t="s">
        <v>22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23</v>
      </c>
      <c r="C2" s="9"/>
      <c r="D2" s="9"/>
      <c r="E2" s="9"/>
      <c r="F2" s="9"/>
      <c r="G2" s="9"/>
      <c r="H2" s="9"/>
    </row>
    <row r="3" ht="24" customHeight="1" spans="2:7" x14ac:dyDescent="0.25">
      <c r="B3" s="10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</row>
    <row r="4" ht="22" customHeight="1" spans="2:7" x14ac:dyDescent="0.25">
      <c r="B4" s="12" t="s">
        <v>30</v>
      </c>
      <c r="C4" s="13">
        <v>1</v>
      </c>
      <c r="D4" s="14" t="s">
        <v>31</v>
      </c>
      <c r="E4" s="15">
        <v>2.35</v>
      </c>
      <c r="F4" s="16">
        <f>IF(D4="kg",E4/(C4*1000),IF(D4="L",E4/(C4*1000),IF(E4=0,"",E4/C4)))</f>
        <v>0</v>
      </c>
      <c r="G4" s="17" t="s">
        <v>32</v>
      </c>
    </row>
    <row r="5" ht="22" customHeight="1" spans="2:7" x14ac:dyDescent="0.25">
      <c r="B5" s="12" t="s">
        <v>33</v>
      </c>
      <c r="C5" s="13">
        <v>250</v>
      </c>
      <c r="D5" s="14" t="s">
        <v>34</v>
      </c>
      <c r="E5" s="15">
        <v>3.75</v>
      </c>
      <c r="F5" s="16">
        <f>IF(D5="kg",E5/(C5*1000),IF(D5="L",E5/(C5*1000),IF(E5=0,"",E5/C5)))</f>
        <v>0</v>
      </c>
      <c r="G5" s="17" t="s">
        <v>35</v>
      </c>
    </row>
    <row r="6" ht="22" customHeight="1" spans="2:7" x14ac:dyDescent="0.25">
      <c r="B6" s="12" t="s">
        <v>36</v>
      </c>
      <c r="C6" s="13">
        <v>500</v>
      </c>
      <c r="D6" s="14" t="s">
        <v>34</v>
      </c>
      <c r="E6" s="15">
        <v>2.8</v>
      </c>
      <c r="F6" s="16">
        <f>IF(D6="kg",E6/(C6*1000),IF(D6="L",E6/(C6*1000),IF(E6=0,"",E6/C6)))</f>
        <v>0</v>
      </c>
      <c r="G6" s="17" t="s">
        <v>37</v>
      </c>
    </row>
    <row r="7" ht="22" customHeight="1" spans="2:7" x14ac:dyDescent="0.25">
      <c r="B7" s="12" t="s">
        <v>38</v>
      </c>
      <c r="C7" s="13">
        <v>500</v>
      </c>
      <c r="D7" s="14" t="s">
        <v>34</v>
      </c>
      <c r="E7" s="15">
        <v>2.55</v>
      </c>
      <c r="F7" s="16">
        <f>IF(D7="kg",E7/(C7*1000),IF(D7="L",E7/(C7*1000),IF(E7=0,"",E7/C7)))</f>
        <v>0</v>
      </c>
      <c r="G7" s="17" t="s">
        <v>39</v>
      </c>
    </row>
    <row r="8" ht="22" customHeight="1" spans="2:7" x14ac:dyDescent="0.25">
      <c r="B8" s="12" t="s">
        <v>40</v>
      </c>
      <c r="C8" s="13">
        <v>10</v>
      </c>
      <c r="D8" s="14" t="s">
        <v>41</v>
      </c>
      <c r="E8" s="15">
        <v>3.2</v>
      </c>
      <c r="F8" s="16">
        <f>IF(D8="kg",E8/(C8*1000),IF(D8="L",E8/(C8*1000),IF(E8=0,"",E8/C8)))</f>
        <v>0</v>
      </c>
      <c r="G8" s="17" t="s">
        <v>42</v>
      </c>
    </row>
    <row r="9" ht="22" customHeight="1" spans="2:7" x14ac:dyDescent="0.25">
      <c r="B9" s="12" t="s">
        <v>43</v>
      </c>
      <c r="C9" s="13">
        <v>50</v>
      </c>
      <c r="D9" s="14" t="s">
        <v>44</v>
      </c>
      <c r="E9" s="15">
        <v>6.9</v>
      </c>
      <c r="F9" s="16">
        <f>IF(D9="kg",E9/(C9*1000),IF(D9="L",E9/(C9*1000),IF(E9=0,"",E9/C9)))</f>
        <v>0</v>
      </c>
      <c r="G9" s="17" t="s">
        <v>45</v>
      </c>
    </row>
    <row r="10" ht="22" customHeight="1" spans="2:7" x14ac:dyDescent="0.25">
      <c r="B10" s="12" t="s">
        <v>46</v>
      </c>
      <c r="C10" s="13">
        <v>200</v>
      </c>
      <c r="D10" s="14" t="s">
        <v>34</v>
      </c>
      <c r="E10" s="15">
        <v>2.4</v>
      </c>
      <c r="F10" s="16">
        <f>IF(D10="kg",E10/(C10*1000),IF(D10="L",E10/(C10*1000),IF(E10=0,"",E10/C10)))</f>
        <v>0</v>
      </c>
      <c r="G10" s="17" t="s">
        <v>47</v>
      </c>
    </row>
    <row r="11" ht="22" customHeight="1" spans="2:7" x14ac:dyDescent="0.25">
      <c r="B11" s="12" t="s">
        <v>48</v>
      </c>
      <c r="C11" s="13">
        <v>500</v>
      </c>
      <c r="D11" s="14" t="s">
        <v>34</v>
      </c>
      <c r="E11" s="15">
        <v>0.95</v>
      </c>
      <c r="F11" s="16">
        <f>IF(D11="kg",E11/(C11*1000),IF(D11="L",E11/(C11*1000),IF(E11=0,"",E11/C11)))</f>
        <v>0</v>
      </c>
      <c r="G11" s="17" t="s">
        <v>49</v>
      </c>
    </row>
    <row r="12" ht="22" customHeight="1" spans="2:7" x14ac:dyDescent="0.25">
      <c r="B12" s="12" t="s">
        <v>50</v>
      </c>
      <c r="C12" s="13">
        <v>340</v>
      </c>
      <c r="D12" s="14" t="s">
        <v>34</v>
      </c>
      <c r="E12" s="15">
        <v>5.85</v>
      </c>
      <c r="F12" s="16">
        <f>IF(D12="kg",E12/(C12*1000),IF(D12="L",E12/(C12*1000),IF(E12=0,"",E12/C12)))</f>
        <v>0</v>
      </c>
      <c r="G12" s="17" t="s">
        <v>51</v>
      </c>
    </row>
    <row r="13" ht="22" customHeight="1" spans="2:7" x14ac:dyDescent="0.25">
      <c r="B13" s="12" t="s">
        <v>52</v>
      </c>
      <c r="C13" s="13">
        <v>1</v>
      </c>
      <c r="D13" s="14" t="s">
        <v>53</v>
      </c>
      <c r="E13" s="15">
        <v>3.45</v>
      </c>
      <c r="F13" s="16">
        <f>IF(D13="kg",E13/(C13*1000),IF(D13="L",E13/(C13*1000),IF(E13=0,"",E13/C13)))</f>
        <v>0</v>
      </c>
      <c r="G13" s="17" t="s">
        <v>54</v>
      </c>
    </row>
    <row r="14" ht="22" customHeight="1" spans="2:7" x14ac:dyDescent="0.25">
      <c r="B14" s="18"/>
      <c r="C14" s="18"/>
      <c r="D14" s="19"/>
      <c r="E14" s="20"/>
      <c r="F14" s="21" t="str">
        <f>IF($D14="kg",$E14/($C14*1000),IF($D14="L",$E14/($C14*1000),IF($E14=0,"",$E14/$C14)))</f>
        <v/>
      </c>
      <c r="G14" s="18"/>
    </row>
    <row r="15" ht="22" customHeight="1" spans="2:7" x14ac:dyDescent="0.25">
      <c r="B15" s="18"/>
      <c r="C15" s="18"/>
      <c r="D15" s="19"/>
      <c r="E15" s="20"/>
      <c r="F15" s="21" t="str">
        <f>IF($D15="kg",$E15/($C15*1000),IF($D15="L",$E15/($C15*1000),IF($E15=0,"",$E15/$C15)))</f>
        <v/>
      </c>
      <c r="G15" s="18"/>
    </row>
    <row r="16" ht="22" customHeight="1" spans="2:7" x14ac:dyDescent="0.25">
      <c r="B16" s="18"/>
      <c r="C16" s="18"/>
      <c r="D16" s="19"/>
      <c r="E16" s="20"/>
      <c r="F16" s="21" t="str">
        <f>IF($D16="kg",$E16/($C16*1000),IF($D16="L",$E16/($C16*1000),IF($E16=0,"",$E16/$C16)))</f>
        <v/>
      </c>
      <c r="G16" s="18"/>
    </row>
    <row r="17" ht="22" customHeight="1" spans="2:7" x14ac:dyDescent="0.25">
      <c r="B17" s="18"/>
      <c r="C17" s="18"/>
      <c r="D17" s="19"/>
      <c r="E17" s="20"/>
      <c r="F17" s="21" t="str">
        <f>IF($D17="kg",$E17/($C17*1000),IF($D17="L",$E17/($C17*1000),IF($E17=0,"",$E17/$C17)))</f>
        <v/>
      </c>
      <c r="G17" s="18"/>
    </row>
    <row r="18" ht="22" customHeight="1" spans="2:7" x14ac:dyDescent="0.25">
      <c r="B18" s="18"/>
      <c r="C18" s="18"/>
      <c r="D18" s="19"/>
      <c r="E18" s="20"/>
      <c r="F18" s="21" t="str">
        <f>IF($D18="kg",$E18/($C18*1000),IF($D18="L",$E18/($C18*1000),IF($E18=0,"",$E18/$C18)))</f>
        <v/>
      </c>
      <c r="G18" s="18"/>
    </row>
    <row r="19" ht="22" customHeight="1" spans="2:7" x14ac:dyDescent="0.25">
      <c r="B19" s="18"/>
      <c r="C19" s="18"/>
      <c r="D19" s="19"/>
      <c r="E19" s="20"/>
      <c r="F19" s="21" t="str">
        <f>IF($D19="kg",$E19/($C19*1000),IF($D19="L",$E19/($C19*1000),IF($E19=0,"",$E19/$C19)))</f>
        <v/>
      </c>
      <c r="G19" s="18"/>
    </row>
    <row r="20" ht="22" customHeight="1" spans="2:7" x14ac:dyDescent="0.25">
      <c r="B20" s="18"/>
      <c r="C20" s="18"/>
      <c r="D20" s="19"/>
      <c r="E20" s="20"/>
      <c r="F20" s="21" t="str">
        <f>IF($D20="kg",$E20/($C20*1000),IF($D20="L",$E20/($C20*1000),IF($E20=0,"",$E20/$C20)))</f>
        <v/>
      </c>
      <c r="G20" s="18"/>
    </row>
    <row r="21" ht="22" customHeight="1" spans="2:7" x14ac:dyDescent="0.25">
      <c r="B21" s="18"/>
      <c r="C21" s="18"/>
      <c r="D21" s="19"/>
      <c r="E21" s="20"/>
      <c r="F21" s="21" t="str">
        <f>IF($D21="kg",$E21/($C21*1000),IF($D21="L",$E21/($C21*1000),IF($E21=0,"",$E21/$C21)))</f>
        <v/>
      </c>
      <c r="G21" s="18"/>
    </row>
    <row r="22" ht="22" customHeight="1" spans="2:7" x14ac:dyDescent="0.25">
      <c r="B22" s="18"/>
      <c r="C22" s="18"/>
      <c r="D22" s="19"/>
      <c r="E22" s="20"/>
      <c r="F22" s="21" t="str">
        <f>IF($D22="kg",$E22/($C22*1000),IF($D22="L",$E22/($C22*1000),IF($E22=0,"",$E22/$C22)))</f>
        <v/>
      </c>
      <c r="G22" s="18"/>
    </row>
    <row r="23" ht="22" customHeight="1" spans="2:7" x14ac:dyDescent="0.25">
      <c r="B23" s="18"/>
      <c r="C23" s="18"/>
      <c r="D23" s="19"/>
      <c r="E23" s="20"/>
      <c r="F23" s="21" t="str">
        <f>IF($D23="kg",$E23/($C23*1000),IF($D23="L",$E23/($C23*1000),IF($E23=0,"",$E23/$C23)))</f>
        <v/>
      </c>
      <c r="G23" s="18"/>
    </row>
    <row r="24" ht="22" customHeight="1" spans="2:7" x14ac:dyDescent="0.25">
      <c r="B24" s="18"/>
      <c r="C24" s="18"/>
      <c r="D24" s="19"/>
      <c r="E24" s="20"/>
      <c r="F24" s="21" t="str">
        <f>IF($D24="kg",$E24/($C24*1000),IF($D24="L",$E24/($C24*1000),IF($E24=0,"",$E24/$C24)))</f>
        <v/>
      </c>
      <c r="G24" s="18"/>
    </row>
    <row r="25" ht="22" customHeight="1" spans="2:7" x14ac:dyDescent="0.25">
      <c r="B25" s="18"/>
      <c r="C25" s="18"/>
      <c r="D25" s="19"/>
      <c r="E25" s="20"/>
      <c r="F25" s="21" t="str">
        <f>IF($D25="kg",$E25/($C25*1000),IF($D25="L",$E25/($C25*1000),IF($E25=0,"",$E25/$C25)))</f>
        <v/>
      </c>
      <c r="G25" s="18"/>
    </row>
    <row r="26" ht="22" customHeight="1" spans="2:7" x14ac:dyDescent="0.25">
      <c r="B26" s="18"/>
      <c r="C26" s="18"/>
      <c r="D26" s="19"/>
      <c r="E26" s="20"/>
      <c r="F26" s="21" t="str">
        <f>IF($D26="kg",$E26/($C26*1000),IF($D26="L",$E26/($C26*1000),IF($E26=0,"",$E26/$C26)))</f>
        <v/>
      </c>
      <c r="G26" s="18"/>
    </row>
    <row r="27" ht="22" customHeight="1" spans="2:7" x14ac:dyDescent="0.25">
      <c r="B27" s="18"/>
      <c r="C27" s="18"/>
      <c r="D27" s="19"/>
      <c r="E27" s="20"/>
      <c r="F27" s="21" t="str">
        <f>IF($D27="kg",$E27/($C27*1000),IF($D27="L",$E27/($C27*1000),IF($E27=0,"",$E27/$C27)))</f>
        <v/>
      </c>
      <c r="G27" s="18"/>
    </row>
    <row r="29" ht="30" customHeight="1" spans="2:7" x14ac:dyDescent="0.25">
      <c r="B29" s="22" t="s">
        <v>55</v>
      </c>
      <c r="C29" s="22"/>
      <c r="D29" s="22"/>
      <c r="E29" s="22"/>
      <c r="F29" s="22"/>
      <c r="G29" s="22"/>
    </row>
  </sheetData>
  <sheetProtection sheet="1"/>
  <mergeCells count="3">
    <mergeCell ref="B1:H1"/>
    <mergeCell ref="B2:H2"/>
    <mergeCell ref="B29:G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B1:H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14" customWidth="1"/>
    <col min="4" max="4" width="10" customWidth="1"/>
    <col min="5" max="6" width="16" customWidth="1"/>
    <col min="7" max="7" width="40" customWidth="1"/>
  </cols>
  <sheetData>
    <row r="1" ht="34" customHeight="1" spans="2:8" x14ac:dyDescent="0.25">
      <c r="B1" s="8" t="s">
        <v>56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57</v>
      </c>
      <c r="C2" s="9"/>
      <c r="D2" s="9"/>
      <c r="E2" s="9"/>
      <c r="F2" s="9"/>
      <c r="G2" s="9"/>
      <c r="H2" s="9"/>
    </row>
    <row r="3" ht="24" customHeight="1" spans="2:7" x14ac:dyDescent="0.25">
      <c r="B3" s="10" t="s">
        <v>24</v>
      </c>
      <c r="C3" s="11" t="s">
        <v>58</v>
      </c>
      <c r="D3" s="11" t="s">
        <v>26</v>
      </c>
      <c r="E3" s="11" t="s">
        <v>59</v>
      </c>
      <c r="F3" s="11" t="s">
        <v>60</v>
      </c>
      <c r="G3" s="11" t="s">
        <v>61</v>
      </c>
    </row>
    <row r="4" ht="22" customHeight="1" spans="2:6" x14ac:dyDescent="0.25">
      <c r="B4" s="23" t="s">
        <v>30</v>
      </c>
      <c r="C4" s="24">
        <v>300</v>
      </c>
      <c r="D4" s="25" t="s">
        <v>34</v>
      </c>
      <c r="E4" s="26">
        <f>$C4*'INGREDIENTS'!F4</f>
        <v>0</v>
      </c>
      <c r="F4" s="27" t="str">
        <f>IF($E$10=0,"",E4/$E$10)</f>
        <v/>
      </c>
    </row>
    <row r="5" ht="22" customHeight="1" spans="2:6" x14ac:dyDescent="0.25">
      <c r="B5" s="23" t="s">
        <v>33</v>
      </c>
      <c r="C5" s="24">
        <v>200</v>
      </c>
      <c r="D5" s="25" t="s">
        <v>34</v>
      </c>
      <c r="E5" s="26">
        <f>$C5*'INGREDIENTS'!F5</f>
        <v>0</v>
      </c>
      <c r="F5" s="27" t="str">
        <f>IF($E$10=0,"",E5/$E$10)</f>
        <v/>
      </c>
    </row>
    <row r="6" ht="22" customHeight="1" spans="2:6" x14ac:dyDescent="0.25">
      <c r="B6" s="23" t="s">
        <v>36</v>
      </c>
      <c r="C6" s="24">
        <v>100</v>
      </c>
      <c r="D6" s="25" t="s">
        <v>34</v>
      </c>
      <c r="E6" s="26">
        <f>$C6*'INGREDIENTS'!F6</f>
        <v>0</v>
      </c>
      <c r="F6" s="27" t="str">
        <f>IF($E$10=0,"",E6/$E$10)</f>
        <v/>
      </c>
    </row>
    <row r="7" ht="22" customHeight="1" spans="2:6" x14ac:dyDescent="0.25">
      <c r="B7" s="23" t="s">
        <v>40</v>
      </c>
      <c r="C7" s="24">
        <v>1</v>
      </c>
      <c r="D7" s="25" t="s">
        <v>41</v>
      </c>
      <c r="E7" s="26">
        <f>$C7*'INGREDIENTS'!F8</f>
        <v>0</v>
      </c>
      <c r="F7" s="27" t="str">
        <f>IF($E$10=0,"",E7/$E$10)</f>
        <v/>
      </c>
    </row>
    <row r="8" ht="22" customHeight="1" spans="2:6" x14ac:dyDescent="0.25">
      <c r="B8" s="23" t="s">
        <v>43</v>
      </c>
      <c r="C8" s="24">
        <v>5</v>
      </c>
      <c r="D8" s="25" t="s">
        <v>44</v>
      </c>
      <c r="E8" s="26">
        <f>$C8*'INGREDIENTS'!F9</f>
        <v>0</v>
      </c>
      <c r="F8" s="27" t="str">
        <f>IF($E$10=0,"",E8/$E$10)</f>
        <v/>
      </c>
    </row>
    <row r="9" ht="22" customHeight="1" spans="2:6" x14ac:dyDescent="0.25">
      <c r="B9" s="23" t="s">
        <v>48</v>
      </c>
      <c r="C9" s="24">
        <v>2</v>
      </c>
      <c r="D9" s="25" t="s">
        <v>34</v>
      </c>
      <c r="E9" s="26">
        <f>$C9*'INGREDIENTS'!F11</f>
        <v>0</v>
      </c>
      <c r="F9" s="27" t="str">
        <f>IF($E$10=0,"",E9/$E$10)</f>
        <v/>
      </c>
    </row>
    <row r="10" ht="26" customHeight="1" spans="2:5" x14ac:dyDescent="0.25">
      <c r="B10" s="28" t="s">
        <v>62</v>
      </c>
      <c r="C10" s="28"/>
      <c r="D10" s="28"/>
      <c r="E10" s="29">
        <f>SUM(E4:E9)</f>
        <v>0</v>
      </c>
    </row>
    <row r="12" ht="24" customHeight="1" spans="2:8" x14ac:dyDescent="0.25">
      <c r="B12" s="30" t="s">
        <v>63</v>
      </c>
      <c r="C12" s="30"/>
      <c r="D12" s="30"/>
      <c r="E12" s="30"/>
      <c r="F12" s="30"/>
      <c r="G12" s="30"/>
      <c r="H12" s="30"/>
    </row>
    <row r="13" spans="2:3" x14ac:dyDescent="0.25">
      <c r="B13" s="31" t="s">
        <v>64</v>
      </c>
      <c r="C13" s="32">
        <v>24</v>
      </c>
    </row>
    <row r="14" spans="2:3" x14ac:dyDescent="0.25">
      <c r="B14" s="31" t="s">
        <v>65</v>
      </c>
      <c r="C14" s="15">
        <v>0.25</v>
      </c>
    </row>
    <row r="15" spans="2:3" x14ac:dyDescent="0.25">
      <c r="B15" s="31" t="s">
        <v>66</v>
      </c>
      <c r="C15" s="33">
        <f>C13*C14</f>
        <v>0</v>
      </c>
    </row>
    <row r="17" ht="26" customHeight="1" spans="2:7" x14ac:dyDescent="0.25">
      <c r="B17" s="22" t="s">
        <v>67</v>
      </c>
      <c r="C17" s="22"/>
      <c r="D17" s="22"/>
      <c r="E17" s="22"/>
      <c r="F17" s="22"/>
      <c r="G17" s="22"/>
    </row>
  </sheetData>
  <sheetProtection sheet="1"/>
  <mergeCells count="5">
    <mergeCell ref="B1:H1"/>
    <mergeCell ref="B2:H2"/>
    <mergeCell ref="B10:D10"/>
    <mergeCell ref="B12:H12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33EA"/>
  </sheetPr>
  <dimension ref="B1:H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2" customWidth="1"/>
    <col min="3" max="3" width="16" customWidth="1"/>
    <col min="4" max="4" width="46" customWidth="1"/>
  </cols>
  <sheetData>
    <row r="1" ht="34" customHeight="1" spans="2:8" x14ac:dyDescent="0.25">
      <c r="B1" s="8" t="s">
        <v>68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69</v>
      </c>
      <c r="C2" s="9"/>
      <c r="D2" s="9"/>
      <c r="E2" s="9"/>
      <c r="F2" s="9"/>
      <c r="G2" s="9"/>
      <c r="H2" s="9"/>
    </row>
    <row r="4" ht="24" customHeight="1" spans="2:8" x14ac:dyDescent="0.25">
      <c r="B4" s="34" t="s">
        <v>70</v>
      </c>
      <c r="C4" s="34"/>
      <c r="D4" s="34"/>
      <c r="E4" s="34"/>
      <c r="F4" s="34"/>
      <c r="G4" s="34"/>
      <c r="H4" s="34"/>
    </row>
    <row r="5" ht="22" customHeight="1" spans="2:4" x14ac:dyDescent="0.25">
      <c r="B5" s="23" t="s">
        <v>71</v>
      </c>
      <c r="C5" s="15">
        <v>18</v>
      </c>
      <c r="D5" s="35" t="s">
        <v>72</v>
      </c>
    </row>
    <row r="6" ht="22" customHeight="1" spans="2:4" x14ac:dyDescent="0.25">
      <c r="B6" s="23" t="s">
        <v>73</v>
      </c>
      <c r="C6" s="36">
        <v>2.5</v>
      </c>
      <c r="D6" s="35" t="s">
        <v>74</v>
      </c>
    </row>
    <row r="7" ht="24" customHeight="1" spans="2:8" x14ac:dyDescent="0.25">
      <c r="B7" s="34" t="s">
        <v>75</v>
      </c>
      <c r="C7" s="34"/>
      <c r="D7" s="34"/>
      <c r="E7" s="34"/>
      <c r="F7" s="34"/>
      <c r="G7" s="34"/>
      <c r="H7" s="34"/>
    </row>
    <row r="8" ht="22" customHeight="1" spans="2:4" x14ac:dyDescent="0.25">
      <c r="B8" s="23" t="s">
        <v>76</v>
      </c>
      <c r="C8" s="15">
        <v>2.8</v>
      </c>
      <c r="D8" s="35" t="s">
        <v>77</v>
      </c>
    </row>
    <row r="9" ht="24" customHeight="1" spans="2:8" x14ac:dyDescent="0.25">
      <c r="B9" s="34" t="s">
        <v>78</v>
      </c>
      <c r="C9" s="34"/>
      <c r="D9" s="34"/>
      <c r="E9" s="34"/>
      <c r="F9" s="34"/>
      <c r="G9" s="34"/>
      <c r="H9" s="34"/>
    </row>
    <row r="10" ht="22" customHeight="1" spans="2:4" x14ac:dyDescent="0.25">
      <c r="B10" s="23" t="s">
        <v>79</v>
      </c>
      <c r="C10" s="15">
        <v>25</v>
      </c>
      <c r="D10" s="35" t="s">
        <v>80</v>
      </c>
    </row>
    <row r="11" ht="22" customHeight="1" spans="2:4" x14ac:dyDescent="0.25">
      <c r="B11" s="23" t="s">
        <v>81</v>
      </c>
      <c r="C11" s="15">
        <v>30</v>
      </c>
      <c r="D11" s="35" t="s">
        <v>82</v>
      </c>
    </row>
    <row r="12" ht="22" customHeight="1" spans="2:4" x14ac:dyDescent="0.25">
      <c r="B12" s="23" t="s">
        <v>83</v>
      </c>
      <c r="C12" s="32">
        <v>20</v>
      </c>
      <c r="D12" s="35" t="s">
        <v>84</v>
      </c>
    </row>
    <row r="14" ht="24" customHeight="1" spans="2:8" x14ac:dyDescent="0.25">
      <c r="B14" s="30" t="s">
        <v>85</v>
      </c>
      <c r="C14" s="30"/>
      <c r="D14" s="30"/>
      <c r="E14" s="30"/>
      <c r="F14" s="30"/>
      <c r="G14" s="30"/>
      <c r="H14" s="30"/>
    </row>
    <row r="15" ht="22" customHeight="1" spans="2:4" x14ac:dyDescent="0.25">
      <c r="B15" s="23" t="s">
        <v>86</v>
      </c>
      <c r="C15" s="33">
        <f>C5*C6</f>
        <v>0</v>
      </c>
      <c r="D15" s="35" t="s">
        <v>87</v>
      </c>
    </row>
    <row r="16" ht="22" customHeight="1" spans="2:4" x14ac:dyDescent="0.25">
      <c r="B16" s="23" t="s">
        <v>88</v>
      </c>
      <c r="C16" s="33">
        <f>C10+C11</f>
        <v>0</v>
      </c>
      <c r="D16" s="35" t="s">
        <v>89</v>
      </c>
    </row>
    <row r="17" ht="22" customHeight="1" spans="2:4" x14ac:dyDescent="0.25">
      <c r="B17" s="23" t="s">
        <v>90</v>
      </c>
      <c r="C17" s="33">
        <f>IF(C12=0,0,C16/C12)</f>
        <v>0</v>
      </c>
      <c r="D17" s="35" t="s">
        <v>91</v>
      </c>
    </row>
    <row r="18" ht="22" customHeight="1" spans="2:4" x14ac:dyDescent="0.25">
      <c r="B18" s="23" t="s">
        <v>92</v>
      </c>
      <c r="C18" s="33">
        <f>C8+C17</f>
        <v>0</v>
      </c>
      <c r="D18" s="35" t="s">
        <v>93</v>
      </c>
    </row>
  </sheetData>
  <sheetProtection sheet="1"/>
  <mergeCells count="6">
    <mergeCell ref="B1:H1"/>
    <mergeCell ref="B2:H2"/>
    <mergeCell ref="B4:H4"/>
    <mergeCell ref="B7:H7"/>
    <mergeCell ref="B9:H9"/>
    <mergeCell ref="B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B1:H2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4" customWidth="1"/>
    <col min="3" max="3" width="17" customWidth="1"/>
    <col min="4" max="4" width="48" customWidth="1"/>
  </cols>
  <sheetData>
    <row r="1" ht="34" customHeight="1" spans="2:8" x14ac:dyDescent="0.25">
      <c r="B1" s="8" t="s">
        <v>94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95</v>
      </c>
      <c r="C2" s="9"/>
      <c r="D2" s="9"/>
      <c r="E2" s="9"/>
      <c r="F2" s="9"/>
      <c r="G2" s="9"/>
      <c r="H2" s="9"/>
    </row>
    <row r="4" ht="24" customHeight="1" spans="2:8" x14ac:dyDescent="0.25">
      <c r="B4" s="30" t="s">
        <v>96</v>
      </c>
      <c r="C4" s="30"/>
      <c r="D4" s="30"/>
      <c r="E4" s="30"/>
      <c r="F4" s="30"/>
      <c r="G4" s="30"/>
      <c r="H4" s="30"/>
    </row>
    <row r="5" ht="22" customHeight="1" spans="2:3" x14ac:dyDescent="0.25">
      <c r="B5" s="23" t="s">
        <v>97</v>
      </c>
      <c r="C5" s="33">
        <f>'RECIPE COSTING'!E10</f>
        <v>0</v>
      </c>
    </row>
    <row r="6" ht="22" customHeight="1" spans="2:3" x14ac:dyDescent="0.25">
      <c r="B6" s="23" t="s">
        <v>98</v>
      </c>
      <c r="C6" s="26">
        <f>'RECIPE COSTING'!C15</f>
        <v>0</v>
      </c>
    </row>
    <row r="7" ht="22" customHeight="1" spans="2:3" x14ac:dyDescent="0.25">
      <c r="B7" s="23" t="s">
        <v>99</v>
      </c>
      <c r="C7" s="26">
        <f>'LABOUR &amp; OVERHEAD'!C15</f>
        <v>0</v>
      </c>
    </row>
    <row r="8" ht="22" customHeight="1" spans="2:3" x14ac:dyDescent="0.25">
      <c r="B8" s="23" t="s">
        <v>92</v>
      </c>
      <c r="C8" s="26">
        <f>'LABOUR &amp; OVERHEAD'!C18</f>
        <v>0</v>
      </c>
    </row>
    <row r="9" ht="22" customHeight="1" spans="2:3" x14ac:dyDescent="0.25">
      <c r="B9" s="37" t="s">
        <v>100</v>
      </c>
      <c r="C9" s="38">
        <f>C5+C6+C7+C8</f>
        <v>0</v>
      </c>
    </row>
    <row r="10" ht="22" customHeight="1" spans="2:3" x14ac:dyDescent="0.25">
      <c r="B10" s="23" t="s">
        <v>101</v>
      </c>
      <c r="C10" s="39">
        <f>'RECIPE COSTING'!C13</f>
        <v>0</v>
      </c>
    </row>
    <row r="11" ht="22" customHeight="1" spans="2:3" x14ac:dyDescent="0.25">
      <c r="B11" s="37" t="s">
        <v>102</v>
      </c>
      <c r="C11" s="38">
        <f>IF(C10=0,0,C9/C10)</f>
        <v>0</v>
      </c>
    </row>
    <row r="13" ht="24" customHeight="1" spans="2:8" x14ac:dyDescent="0.25">
      <c r="B13" s="30" t="s">
        <v>103</v>
      </c>
      <c r="C13" s="30"/>
      <c r="D13" s="30"/>
      <c r="E13" s="30"/>
      <c r="F13" s="30"/>
      <c r="G13" s="30"/>
      <c r="H13" s="30"/>
    </row>
    <row r="14" ht="22" customHeight="1" spans="2:4" x14ac:dyDescent="0.25">
      <c r="B14" s="23" t="s">
        <v>104</v>
      </c>
      <c r="C14" s="40">
        <v>0.45</v>
      </c>
      <c r="D14" s="35" t="s">
        <v>105</v>
      </c>
    </row>
    <row r="15" ht="22" customHeight="1" spans="2:4" x14ac:dyDescent="0.25">
      <c r="B15" s="23" t="s">
        <v>106</v>
      </c>
      <c r="C15" s="33">
        <f>IF(C11=0,0,C11/(1-C14))</f>
        <v>0</v>
      </c>
      <c r="D15" s="35" t="s">
        <v>107</v>
      </c>
    </row>
    <row r="16" ht="22" customHeight="1" spans="2:4" x14ac:dyDescent="0.25">
      <c r="B16" s="23" t="s">
        <v>108</v>
      </c>
      <c r="C16" s="15">
        <v>4.5</v>
      </c>
      <c r="D16" s="35" t="s">
        <v>109</v>
      </c>
    </row>
    <row r="17" ht="22" customHeight="1" spans="2:3" x14ac:dyDescent="0.25">
      <c r="B17" s="23" t="s">
        <v>110</v>
      </c>
      <c r="C17" s="26">
        <f>C16-C11</f>
        <v>0</v>
      </c>
    </row>
    <row r="18" ht="22" customHeight="1" spans="2:3" x14ac:dyDescent="0.25">
      <c r="B18" s="23" t="s">
        <v>111</v>
      </c>
      <c r="C18" s="41">
        <f>IF(C16=0,0,(C16-C11)/C16)</f>
        <v>0</v>
      </c>
    </row>
    <row r="20" ht="24" customHeight="1" spans="2:8" x14ac:dyDescent="0.25">
      <c r="B20" s="30" t="s">
        <v>112</v>
      </c>
      <c r="C20" s="30"/>
      <c r="D20" s="30"/>
      <c r="E20" s="30"/>
      <c r="F20" s="30"/>
      <c r="G20" s="30"/>
      <c r="H20" s="30"/>
    </row>
    <row r="21" ht="22" customHeight="1" spans="2:3" x14ac:dyDescent="0.25">
      <c r="B21" s="23" t="s">
        <v>113</v>
      </c>
      <c r="C21" s="26">
        <f>(C16-C11)*C10</f>
        <v>0</v>
      </c>
    </row>
    <row r="22" ht="22" customHeight="1" spans="2:3" x14ac:dyDescent="0.25">
      <c r="B22" s="23" t="s">
        <v>114</v>
      </c>
      <c r="C22" s="42">
        <v>240</v>
      </c>
    </row>
    <row r="23" ht="22" customHeight="1" spans="2:3" x14ac:dyDescent="0.25">
      <c r="B23" s="23" t="s">
        <v>115</v>
      </c>
      <c r="C23" s="39">
        <f>IF(C10=0,0,ROUNDUP(C22/C10,0))</f>
        <v>0</v>
      </c>
    </row>
    <row r="24" ht="22" customHeight="1" spans="2:3" x14ac:dyDescent="0.25">
      <c r="B24" s="37" t="s">
        <v>116</v>
      </c>
      <c r="C24" s="38">
        <f>(C16-C11)*C22</f>
        <v>0</v>
      </c>
    </row>
    <row r="25" ht="22" customHeight="1" spans="2:3" x14ac:dyDescent="0.25">
      <c r="B25" s="23" t="s">
        <v>117</v>
      </c>
      <c r="C25" s="26">
        <f>C16*C22</f>
        <v>0</v>
      </c>
    </row>
    <row r="27" ht="28" customHeight="1" spans="2:4" x14ac:dyDescent="0.25">
      <c r="B27" s="43" t="str">
        <f>IF(C18&lt;0.3,"⚠ Your margin is below 30% — most home bakeries need 40%+ to survive fees, wastage and slow weeks.","Margin looks workable — remember platform/payment fees (~2–4%) come out of this.")</f>
        <v/>
      </c>
      <c r="C27" s="43"/>
      <c r="D27" s="43"/>
    </row>
  </sheetData>
  <sheetProtection sheet="1"/>
  <mergeCells count="6">
    <mergeCell ref="B1:H1"/>
    <mergeCell ref="B2:H2"/>
    <mergeCell ref="B4:H4"/>
    <mergeCell ref="B13:H13"/>
    <mergeCell ref="B20:H20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1:H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0" customWidth="1"/>
    <col min="3" max="4" width="17" customWidth="1"/>
    <col min="5" max="5" width="44" customWidth="1"/>
  </cols>
  <sheetData>
    <row r="1" ht="34" customHeight="1" spans="2:8" x14ac:dyDescent="0.25">
      <c r="B1" s="8" t="s">
        <v>118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119</v>
      </c>
      <c r="C2" s="9"/>
      <c r="D2" s="9"/>
      <c r="E2" s="9"/>
      <c r="F2" s="9"/>
      <c r="G2" s="9"/>
      <c r="H2" s="9"/>
    </row>
    <row r="3" ht="24" customHeight="1" spans="2:8" x14ac:dyDescent="0.25">
      <c r="B3" s="44" t="s">
        <v>120</v>
      </c>
      <c r="C3" s="44"/>
      <c r="D3" s="44"/>
      <c r="E3" s="44"/>
      <c r="F3" s="44"/>
      <c r="G3" s="44"/>
      <c r="H3" s="44"/>
    </row>
    <row r="4" ht="22" customHeight="1" spans="2:3" x14ac:dyDescent="0.25">
      <c r="B4" s="23" t="s">
        <v>121</v>
      </c>
      <c r="C4" s="45">
        <f>'PRICING &amp; PROFIT'!C11</f>
        <v>0</v>
      </c>
    </row>
    <row r="5" ht="22" customHeight="1" spans="2:4" x14ac:dyDescent="0.25">
      <c r="B5" s="23" t="s">
        <v>122</v>
      </c>
      <c r="C5" s="15">
        <v>25</v>
      </c>
      <c r="D5" s="35" t="s">
        <v>123</v>
      </c>
    </row>
    <row r="6" ht="22" customHeight="1" spans="2:4" x14ac:dyDescent="0.25">
      <c r="B6" s="23" t="s">
        <v>124</v>
      </c>
      <c r="C6" s="36">
        <v>1.5</v>
      </c>
      <c r="D6" s="35" t="s">
        <v>125</v>
      </c>
    </row>
    <row r="7" ht="22" customHeight="1" spans="2:4" x14ac:dyDescent="0.25">
      <c r="B7" s="23" t="s">
        <v>126</v>
      </c>
      <c r="C7" s="15">
        <v>150</v>
      </c>
      <c r="D7" s="35" t="s">
        <v>127</v>
      </c>
    </row>
    <row r="8" ht="22" customHeight="1" spans="2:3" x14ac:dyDescent="0.25">
      <c r="B8" s="23" t="s">
        <v>128</v>
      </c>
      <c r="C8" s="32">
        <v>24</v>
      </c>
    </row>
    <row r="9" ht="22" customHeight="1" spans="2:3" x14ac:dyDescent="0.25">
      <c r="B9" s="23" t="s">
        <v>129</v>
      </c>
      <c r="C9" s="46">
        <f>'PRICING &amp; PROFIT'!C14</f>
        <v>0</v>
      </c>
    </row>
    <row r="11" ht="24" customHeight="1" spans="2:8" x14ac:dyDescent="0.25">
      <c r="B11" s="30" t="s">
        <v>130</v>
      </c>
      <c r="C11" s="30"/>
      <c r="D11" s="30"/>
      <c r="E11" s="30"/>
      <c r="F11" s="30"/>
      <c r="G11" s="30"/>
      <c r="H11" s="30"/>
    </row>
    <row r="12" ht="24" customHeight="1" spans="2:5" x14ac:dyDescent="0.25">
      <c r="B12" s="10" t="s">
        <v>131</v>
      </c>
      <c r="C12" s="11" t="s">
        <v>132</v>
      </c>
      <c r="D12" s="11" t="s">
        <v>133</v>
      </c>
      <c r="E12" s="11" t="s">
        <v>61</v>
      </c>
    </row>
    <row r="13" spans="2:5" x14ac:dyDescent="0.25">
      <c r="B13" s="31" t="s">
        <v>134</v>
      </c>
      <c r="C13" s="47">
        <f>'PRICING &amp; PROFIT'!C11</f>
        <v>0</v>
      </c>
      <c r="D13" s="48" t="str">
        <f>IF(AND('PRICING &amp; PROFIT'!C16-C13&gt;0,'LABOUR &amp; OVERHEAD'!C16&gt;0),'LABOUR &amp; OVERHEAD'!C16/('PRICING &amp; PROFIT'!C16-C13),"n/a")</f>
        <v/>
      </c>
      <c r="E13" s="35" t="s">
        <v>135</v>
      </c>
    </row>
    <row r="14" spans="2:5" x14ac:dyDescent="0.25">
      <c r="B14" s="31" t="s">
        <v>136</v>
      </c>
      <c r="C14" s="47">
        <f>C13+C5*C6/MAX(1,'RECIPE COSTING'!13)+C7/MAX(1,C8*'RECIPE COSTING'!13)</f>
        <v>0</v>
      </c>
      <c r="D14" s="48" t="str">
        <f>IF(('PRICING &amp; PROFIT'!C16-C14)&lt;=0,"price too low",(C7+'LABOUR &amp; OVERHEAD'!C16)/('PRICING &amp; PROFIT'!C16-C14))</f>
        <v/>
      </c>
      <c r="E14" s="35" t="s">
        <v>137</v>
      </c>
    </row>
    <row r="16" ht="32" customHeight="1" spans="2:5" x14ac:dyDescent="0.25">
      <c r="B16" s="49" t="str">
        <f>IF(C14&gt;='PRICING &amp; PROFIT'!C16,"Upgrade NOT viable at current price — raise price or negotiate kitchen rates.",IF(C14&lt;='PRICING &amp; PROFIT'!C16*(1-C9),"Upgrade CAN hold your target margin at current price.","Upgrade possible but margin shrinks below target — needs higher price or volume."))</f>
        <v/>
      </c>
      <c r="C16" s="49"/>
      <c r="D16" s="49"/>
      <c r="E16" s="49"/>
    </row>
  </sheetData>
  <sheetProtection sheet="1"/>
  <mergeCells count="5">
    <mergeCell ref="B1:H1"/>
    <mergeCell ref="B2:H2"/>
    <mergeCell ref="B3:H3"/>
    <mergeCell ref="B11:H11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B1:H2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92" customWidth="1"/>
  </cols>
  <sheetData>
    <row r="1" ht="34" customHeight="1" spans="2:8" x14ac:dyDescent="0.25">
      <c r="B1" s="8" t="s">
        <v>138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139</v>
      </c>
      <c r="C2" s="9"/>
      <c r="D2" s="9"/>
      <c r="E2" s="9"/>
      <c r="F2" s="9"/>
      <c r="G2" s="9"/>
      <c r="H2" s="9"/>
    </row>
    <row r="3" ht="24" customHeight="1" spans="2:3" x14ac:dyDescent="0.25">
      <c r="B3" s="4" t="s">
        <v>140</v>
      </c>
      <c r="C3" s="4"/>
    </row>
    <row r="4" ht="32" customHeight="1" spans="2:3" x14ac:dyDescent="0.25">
      <c r="B4" s="50" t="s">
        <v>141</v>
      </c>
      <c r="C4" s="50"/>
    </row>
    <row r="5" ht="32" customHeight="1" spans="2:3" x14ac:dyDescent="0.25">
      <c r="B5" s="50" t="s">
        <v>142</v>
      </c>
      <c r="C5" s="50"/>
    </row>
    <row r="6" ht="18" customHeight="1" spans="2:3" x14ac:dyDescent="0.25">
      <c r="B6" s="50" t="s">
        <v>143</v>
      </c>
      <c r="C6" s="50"/>
    </row>
    <row r="7" ht="18" customHeight="1" spans="2:3" x14ac:dyDescent="0.25">
      <c r="B7" s="50" t="s">
        <v>144</v>
      </c>
      <c r="C7" s="50"/>
    </row>
    <row r="8" ht="18" customHeight="1" spans="2:3" x14ac:dyDescent="0.25">
      <c r="B8" s="50" t="s">
        <v>145</v>
      </c>
      <c r="C8" s="50"/>
    </row>
    <row r="10" ht="24" customHeight="1" spans="2:3" x14ac:dyDescent="0.25">
      <c r="B10" s="4" t="s">
        <v>146</v>
      </c>
      <c r="C10" s="4"/>
    </row>
    <row r="11" ht="32" customHeight="1" spans="2:3" x14ac:dyDescent="0.25">
      <c r="B11" s="50" t="s">
        <v>147</v>
      </c>
      <c r="C11" s="50"/>
    </row>
    <row r="12" ht="18" customHeight="1" spans="2:3" x14ac:dyDescent="0.25">
      <c r="B12" s="50" t="s">
        <v>148</v>
      </c>
      <c r="C12" s="50"/>
    </row>
    <row r="13" ht="18" customHeight="1" spans="2:3" x14ac:dyDescent="0.25">
      <c r="B13" s="50" t="s">
        <v>149</v>
      </c>
      <c r="C13" s="50"/>
    </row>
    <row r="14" ht="18" customHeight="1" spans="2:3" x14ac:dyDescent="0.25">
      <c r="B14" s="50" t="s">
        <v>150</v>
      </c>
      <c r="C14" s="50"/>
    </row>
    <row r="15" ht="18" customHeight="1" spans="2:3" x14ac:dyDescent="0.25">
      <c r="B15" s="50" t="s">
        <v>151</v>
      </c>
      <c r="C15" s="50"/>
    </row>
    <row r="16" ht="18" customHeight="1" spans="2:3" x14ac:dyDescent="0.25">
      <c r="B16" s="50" t="s">
        <v>152</v>
      </c>
      <c r="C16" s="50"/>
    </row>
    <row r="18" ht="24" customHeight="1" spans="2:3" x14ac:dyDescent="0.25">
      <c r="B18" s="4" t="s">
        <v>153</v>
      </c>
      <c r="C18" s="4"/>
    </row>
    <row r="19" ht="32" customHeight="1" spans="2:3" x14ac:dyDescent="0.25">
      <c r="B19" s="50" t="s">
        <v>154</v>
      </c>
      <c r="C19" s="50"/>
    </row>
    <row r="20" ht="32" customHeight="1" spans="2:3" x14ac:dyDescent="0.25">
      <c r="B20" s="50" t="s">
        <v>155</v>
      </c>
      <c r="C20" s="50"/>
    </row>
    <row r="21" ht="32" customHeight="1" spans="2:3" x14ac:dyDescent="0.25">
      <c r="B21" s="50" t="s">
        <v>156</v>
      </c>
      <c r="C21" s="50"/>
    </row>
    <row r="22" ht="18" customHeight="1" spans="2:3" x14ac:dyDescent="0.25">
      <c r="B22" s="50" t="s">
        <v>157</v>
      </c>
      <c r="C22" s="50"/>
    </row>
    <row r="24" ht="24" customHeight="1" spans="2:3" x14ac:dyDescent="0.25">
      <c r="B24" s="4" t="s">
        <v>158</v>
      </c>
      <c r="C24" s="4"/>
    </row>
    <row r="25" ht="18" customHeight="1" spans="2:3" x14ac:dyDescent="0.25">
      <c r="B25" s="50" t="s">
        <v>159</v>
      </c>
      <c r="C25" s="50"/>
    </row>
    <row r="26" ht="32" customHeight="1" spans="2:3" x14ac:dyDescent="0.25">
      <c r="B26" s="50" t="s">
        <v>160</v>
      </c>
      <c r="C26" s="50"/>
    </row>
    <row r="27" ht="18" customHeight="1" spans="2:3" x14ac:dyDescent="0.25">
      <c r="B27" s="50" t="s">
        <v>161</v>
      </c>
      <c r="C27" s="50"/>
    </row>
  </sheetData>
  <sheetProtection sheet="1"/>
  <mergeCells count="24">
    <mergeCell ref="B1:H1"/>
    <mergeCell ref="B2:H2"/>
    <mergeCell ref="B3:C3"/>
    <mergeCell ref="B4:C4"/>
    <mergeCell ref="B5:C5"/>
    <mergeCell ref="B6:C6"/>
    <mergeCell ref="B7:C7"/>
    <mergeCell ref="B8:C8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INGREDIENTS</vt:lpstr>
      <vt:lpstr>RECIPE COSTING</vt:lpstr>
      <vt:lpstr>LABOUR &amp; OVERHEAD</vt:lpstr>
      <vt:lpstr>PRICING &amp; PROFIT</vt:lpstr>
      <vt:lpstr>UPGRADE SCENARIO</vt:lpstr>
      <vt:lpstr>SOURCES &amp; NOTES</vt:lpstr>
    </vt:vector>
  </TitlesOfParts>
  <Company>SGEventsHub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>Singapore Home Bakery Pricing &amp; Profit Calculator (2026)</dc:title>
  <dc:subject>Ingredient costing, recipe costing, labour &amp; overhead allocation, pricing and profit projection</dc:subject>
  <dc:description>Cost your bakes accurately — ingredients, packaging, labour and overhead — then price for profit. Includes a home vs shared-kitchen upgrade scenario. For small-business planning only — not financial advice.</dc:description>
  <cp:keywords/>
  <cp:category/>
  <cp:lastModifiedBy>SGEventsHub</cp:lastModifiedBy>
  <dcterms:created xsi:type="dcterms:W3CDTF">2026-08-25T09:48:16Z</dcterms:created>
  <dcterms:modified xsi:type="dcterms:W3CDTF">2026-08-25T09:48:16Z</dcterms:modified>
</cp:coreProperties>
</file>